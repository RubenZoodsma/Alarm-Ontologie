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zoodsm2/Documents/GIT-repositories/Alarm-Ontologie/"/>
    </mc:Choice>
  </mc:AlternateContent>
  <xr:revisionPtr revIDLastSave="0" documentId="13_ncr:1_{CDBC3F44-F5BC-4D40-898A-9437465E0D23}" xr6:coauthVersionLast="47" xr6:coauthVersionMax="47" xr10:uidLastSave="{00000000-0000-0000-0000-000000000000}"/>
  <bookViews>
    <workbookView xWindow="0" yWindow="760" windowWidth="29400" windowHeight="18360" xr2:uid="{CBFFA7CC-2A3B-794A-9F55-02AECC0222F5}"/>
  </bookViews>
  <sheets>
    <sheet name="Blad1" sheetId="1" r:id="rId1"/>
    <sheet name="Blad2" sheetId="2" r:id="rId2"/>
    <sheet name="Analyse_Sub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9" i="3" l="1"/>
  <c r="AG79" i="3"/>
  <c r="AH73" i="3"/>
  <c r="AG73" i="3"/>
  <c r="AH72" i="3"/>
  <c r="AG72" i="3"/>
  <c r="AH71" i="3"/>
  <c r="AG71" i="3"/>
  <c r="AH66" i="3"/>
  <c r="AG66" i="3"/>
  <c r="AH65" i="3"/>
  <c r="AG65" i="3"/>
  <c r="AH61" i="3"/>
  <c r="AG61" i="3"/>
  <c r="AH60" i="3"/>
  <c r="AG60" i="3"/>
  <c r="AH59" i="3"/>
  <c r="AG59" i="3"/>
  <c r="AH53" i="3"/>
  <c r="AG53" i="3"/>
  <c r="AH52" i="3"/>
  <c r="AG52" i="3"/>
  <c r="AH45" i="3"/>
  <c r="AG45" i="3"/>
  <c r="AH39" i="3"/>
  <c r="AG39" i="3"/>
  <c r="AH38" i="3"/>
  <c r="AG38" i="3"/>
  <c r="AH32" i="3"/>
  <c r="AG32" i="3"/>
  <c r="AH31" i="3"/>
  <c r="AG31" i="3"/>
  <c r="AH26" i="3"/>
  <c r="AG26" i="3"/>
  <c r="AG23" i="3"/>
  <c r="AH17" i="3"/>
  <c r="AG17" i="3"/>
  <c r="AG12" i="3"/>
  <c r="AG7" i="3"/>
  <c r="AG3" i="3"/>
  <c r="AF44" i="3"/>
  <c r="AE44" i="3"/>
  <c r="AK44" i="3"/>
  <c r="AA44" i="3"/>
  <c r="V44" i="3"/>
  <c r="U44" i="3"/>
  <c r="V79" i="3"/>
  <c r="V73" i="3"/>
  <c r="V72" i="3"/>
  <c r="V71" i="3"/>
  <c r="V66" i="3"/>
  <c r="V65" i="3"/>
  <c r="V61" i="3"/>
  <c r="V60" i="3"/>
  <c r="V59" i="3"/>
  <c r="V53" i="3"/>
  <c r="V52" i="3"/>
  <c r="V45" i="3"/>
  <c r="V39" i="3"/>
  <c r="V38" i="3"/>
  <c r="V32" i="3"/>
  <c r="V31" i="3"/>
  <c r="V26" i="3"/>
  <c r="V23" i="3"/>
  <c r="V17" i="3"/>
  <c r="V12" i="3"/>
  <c r="V7" i="3"/>
  <c r="V3" i="3"/>
  <c r="L79" i="3"/>
  <c r="K79" i="3"/>
  <c r="J79" i="3"/>
  <c r="I79" i="3"/>
  <c r="H79" i="3"/>
  <c r="L73" i="3"/>
  <c r="K73" i="3"/>
  <c r="J73" i="3"/>
  <c r="I73" i="3"/>
  <c r="H73" i="3"/>
  <c r="L72" i="3"/>
  <c r="K72" i="3"/>
  <c r="J72" i="3"/>
  <c r="I72" i="3"/>
  <c r="H72" i="3"/>
  <c r="L71" i="3"/>
  <c r="K71" i="3"/>
  <c r="J71" i="3"/>
  <c r="I71" i="3"/>
  <c r="H71" i="3"/>
  <c r="L66" i="3"/>
  <c r="K66" i="3"/>
  <c r="J66" i="3"/>
  <c r="I66" i="3"/>
  <c r="H66" i="3"/>
  <c r="L65" i="3"/>
  <c r="K65" i="3"/>
  <c r="J65" i="3"/>
  <c r="I65" i="3"/>
  <c r="H65" i="3"/>
  <c r="L61" i="3"/>
  <c r="K61" i="3"/>
  <c r="J61" i="3"/>
  <c r="I61" i="3"/>
  <c r="H61" i="3"/>
  <c r="L60" i="3"/>
  <c r="K60" i="3"/>
  <c r="J60" i="3"/>
  <c r="I60" i="3"/>
  <c r="H60" i="3"/>
  <c r="L59" i="3"/>
  <c r="K59" i="3"/>
  <c r="J59" i="3"/>
  <c r="I59" i="3"/>
  <c r="H59" i="3"/>
  <c r="L53" i="3"/>
  <c r="K53" i="3"/>
  <c r="J53" i="3"/>
  <c r="I53" i="3"/>
  <c r="H53" i="3"/>
  <c r="L52" i="3"/>
  <c r="K52" i="3"/>
  <c r="J52" i="3"/>
  <c r="I52" i="3"/>
  <c r="H52" i="3"/>
  <c r="L45" i="3"/>
  <c r="K45" i="3"/>
  <c r="J45" i="3"/>
  <c r="I45" i="3"/>
  <c r="H45" i="3"/>
  <c r="L39" i="3"/>
  <c r="K39" i="3"/>
  <c r="J39" i="3"/>
  <c r="I39" i="3"/>
  <c r="H39" i="3"/>
  <c r="L38" i="3"/>
  <c r="K38" i="3"/>
  <c r="J38" i="3"/>
  <c r="I38" i="3"/>
  <c r="H38" i="3"/>
  <c r="L32" i="3"/>
  <c r="K32" i="3"/>
  <c r="J32" i="3"/>
  <c r="I32" i="3"/>
  <c r="H32" i="3"/>
  <c r="L31" i="3"/>
  <c r="K31" i="3"/>
  <c r="J31" i="3"/>
  <c r="I31" i="3"/>
  <c r="H31" i="3"/>
  <c r="L26" i="3"/>
  <c r="K26" i="3"/>
  <c r="J26" i="3"/>
  <c r="I26" i="3"/>
  <c r="H26" i="3"/>
  <c r="L23" i="3"/>
  <c r="K23" i="3"/>
  <c r="J23" i="3"/>
  <c r="I23" i="3"/>
  <c r="H23" i="3"/>
  <c r="L17" i="3"/>
  <c r="K17" i="3"/>
  <c r="J17" i="3"/>
  <c r="I17" i="3"/>
  <c r="H17" i="3"/>
  <c r="L12" i="3"/>
  <c r="K12" i="3"/>
  <c r="J12" i="3"/>
  <c r="I12" i="3"/>
  <c r="H12" i="3"/>
  <c r="L7" i="3"/>
  <c r="K7" i="3"/>
  <c r="J7" i="3"/>
  <c r="I7" i="3"/>
  <c r="H7" i="3"/>
  <c r="L3" i="3"/>
  <c r="K3" i="3"/>
  <c r="J3" i="3"/>
  <c r="I3" i="3"/>
  <c r="H3" i="3"/>
  <c r="G79" i="3"/>
  <c r="G73" i="3"/>
  <c r="G72" i="3"/>
  <c r="G71" i="3"/>
  <c r="G66" i="3"/>
  <c r="G65" i="3"/>
  <c r="G61" i="3"/>
  <c r="G60" i="3"/>
  <c r="G59" i="3"/>
  <c r="G53" i="3"/>
  <c r="G52" i="3"/>
  <c r="G45" i="3"/>
  <c r="G39" i="3"/>
  <c r="G38" i="3"/>
  <c r="G32" i="3"/>
  <c r="G31" i="3"/>
  <c r="G26" i="3"/>
  <c r="G23" i="3"/>
  <c r="G17" i="3"/>
  <c r="G12" i="3"/>
  <c r="G7" i="3"/>
  <c r="G3" i="3"/>
  <c r="F153" i="2" a="1"/>
  <c r="F153" i="2" s="1"/>
  <c r="F152" i="2" a="1"/>
  <c r="F152" i="2" s="1"/>
  <c r="F151" i="2" a="1"/>
  <c r="F151" i="2" s="1"/>
  <c r="F150" i="2" a="1"/>
  <c r="F150" i="2" s="1"/>
  <c r="F149" i="2" a="1"/>
  <c r="F149" i="2" s="1"/>
  <c r="F145" i="2" a="1"/>
  <c r="F145" i="2" s="1"/>
  <c r="F144" i="2" a="1"/>
  <c r="F144" i="2" s="1"/>
  <c r="F143" i="2" a="1"/>
  <c r="F143" i="2" s="1"/>
  <c r="F142" i="2" a="1"/>
  <c r="F142" i="2" s="1"/>
  <c r="F139" i="2" a="1"/>
  <c r="F139" i="2" s="1"/>
  <c r="F138" i="2" a="1"/>
  <c r="F138" i="2" s="1"/>
  <c r="F134" i="2" a="1"/>
  <c r="F134" i="2" s="1"/>
  <c r="F133" i="2" a="1"/>
  <c r="F133" i="2" s="1"/>
  <c r="F132" i="2" a="1"/>
  <c r="F132" i="2" s="1"/>
  <c r="F131" i="2" a="1"/>
  <c r="F131" i="2" s="1"/>
  <c r="F130" i="2" a="1"/>
  <c r="F130" i="2" s="1"/>
  <c r="F127" i="2" a="1"/>
  <c r="F127" i="2" s="1"/>
  <c r="F126" i="2" a="1"/>
  <c r="F126" i="2" s="1"/>
  <c r="F124" i="2" a="1"/>
  <c r="F124" i="2" s="1"/>
  <c r="F123" i="2" a="1"/>
  <c r="F123" i="2" s="1"/>
  <c r="F122" i="2" a="1"/>
  <c r="F122" i="2" s="1"/>
  <c r="F120" i="2" a="1"/>
  <c r="F120" i="2" s="1"/>
  <c r="F119" i="2" a="1"/>
  <c r="F119" i="2" s="1"/>
  <c r="F116" i="2" a="1"/>
  <c r="F116" i="2" s="1"/>
  <c r="F115" i="2" a="1"/>
  <c r="F115" i="2" s="1"/>
  <c r="F114" i="2" a="1"/>
  <c r="F114" i="2" s="1"/>
  <c r="F113" i="2" a="1"/>
  <c r="F113" i="2" s="1"/>
  <c r="F112" i="2" a="1"/>
  <c r="F112" i="2" s="1"/>
  <c r="F109" i="2" a="1"/>
  <c r="F109" i="2" s="1"/>
  <c r="F108" i="2" a="1"/>
  <c r="F108" i="2" s="1"/>
  <c r="F107" i="2" a="1"/>
  <c r="F107" i="2" s="1"/>
  <c r="F106" i="2" a="1"/>
  <c r="F106" i="2" s="1"/>
  <c r="F104" i="2" a="1"/>
  <c r="F104" i="2" s="1"/>
  <c r="F103" i="2" a="1"/>
  <c r="F103" i="2" s="1"/>
  <c r="F100" i="2" a="1"/>
  <c r="F100" i="2" s="1"/>
  <c r="F99" i="2" a="1"/>
  <c r="F99" i="2" s="1"/>
  <c r="F98" i="2" a="1"/>
  <c r="F98" i="2" s="1"/>
  <c r="F95" i="2" a="1"/>
  <c r="F95" i="2" s="1"/>
  <c r="F94" i="2" a="1"/>
  <c r="F94" i="2" s="1"/>
  <c r="F93" i="2" a="1"/>
  <c r="F93" i="2" s="1"/>
  <c r="F90" i="2" a="1"/>
  <c r="F90" i="2" s="1"/>
  <c r="F89" i="2" a="1"/>
  <c r="F89" i="2" s="1"/>
  <c r="F88" i="2" a="1"/>
  <c r="F88" i="2" s="1"/>
  <c r="F85" i="2" a="1"/>
  <c r="F85" i="2" s="1"/>
  <c r="F84" i="2" a="1"/>
  <c r="F84" i="2" s="1"/>
  <c r="F82" i="2" a="1"/>
  <c r="F82" i="2" s="1"/>
  <c r="F125" i="2" a="1"/>
  <c r="F125" i="2" s="1"/>
  <c r="R8" i="2"/>
  <c r="H2" i="2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IB2" i="2" s="1"/>
  <c r="IC2" i="2" s="1"/>
  <c r="ID2" i="2" s="1"/>
  <c r="IE2" i="2" s="1"/>
  <c r="IF2" i="2" s="1"/>
  <c r="IG2" i="2" s="1"/>
  <c r="IH2" i="2" s="1"/>
  <c r="II2" i="2" s="1"/>
  <c r="IJ2" i="2" s="1"/>
  <c r="IK2" i="2" s="1"/>
  <c r="IL2" i="2" s="1"/>
  <c r="IM2" i="2" s="1"/>
  <c r="IN2" i="2" s="1"/>
  <c r="IO2" i="2" s="1"/>
  <c r="IP2" i="2" s="1"/>
  <c r="IQ2" i="2" s="1"/>
  <c r="IR2" i="2" s="1"/>
  <c r="IS2" i="2" s="1"/>
  <c r="IT2" i="2" s="1"/>
  <c r="IU2" i="2" s="1"/>
  <c r="IV2" i="2" s="1"/>
  <c r="IW2" i="2" s="1"/>
  <c r="IX2" i="2" s="1"/>
  <c r="IY2" i="2" s="1"/>
  <c r="IZ2" i="2" s="1"/>
  <c r="JA2" i="2" s="1"/>
  <c r="JB2" i="2" s="1"/>
  <c r="JC2" i="2" s="1"/>
  <c r="JD2" i="2" s="1"/>
  <c r="JE2" i="2" s="1"/>
  <c r="JF2" i="2" s="1"/>
  <c r="JG2" i="2" s="1"/>
  <c r="JH2" i="2" s="1"/>
  <c r="JI2" i="2" s="1"/>
  <c r="JJ2" i="2" s="1"/>
  <c r="JK2" i="2" s="1"/>
  <c r="JL2" i="2" s="1"/>
  <c r="JM2" i="2" s="1"/>
  <c r="JN2" i="2" s="1"/>
  <c r="JO2" i="2" s="1"/>
  <c r="JP2" i="2" s="1"/>
  <c r="JQ2" i="2" s="1"/>
  <c r="JR2" i="2" s="1"/>
  <c r="JS2" i="2" s="1"/>
  <c r="JT2" i="2" s="1"/>
  <c r="JU2" i="2" s="1"/>
  <c r="JV2" i="2" s="1"/>
  <c r="JW2" i="2" s="1"/>
  <c r="JX2" i="2" s="1"/>
  <c r="JY2" i="2" s="1"/>
  <c r="JZ2" i="2" s="1"/>
  <c r="KA2" i="2" s="1"/>
  <c r="KB2" i="2" s="1"/>
  <c r="KC2" i="2" s="1"/>
  <c r="KD2" i="2" s="1"/>
  <c r="KE2" i="2" s="1"/>
  <c r="KF2" i="2" s="1"/>
  <c r="KG2" i="2" s="1"/>
  <c r="KH2" i="2" s="1"/>
  <c r="KI2" i="2" s="1"/>
  <c r="KJ2" i="2" s="1"/>
  <c r="KK2" i="2" s="1"/>
  <c r="KL2" i="2" s="1"/>
  <c r="KM2" i="2" s="1"/>
  <c r="KN2" i="2" s="1"/>
  <c r="KO2" i="2" s="1"/>
  <c r="KP2" i="2" s="1"/>
  <c r="KQ2" i="2" s="1"/>
  <c r="KR2" i="2" s="1"/>
  <c r="KS2" i="2" s="1"/>
  <c r="KT2" i="2" s="1"/>
  <c r="KU2" i="2" s="1"/>
  <c r="KV2" i="2" s="1"/>
  <c r="KW2" i="2" s="1"/>
  <c r="KX2" i="2" s="1"/>
  <c r="KY2" i="2" s="1"/>
  <c r="KZ2" i="2" s="1"/>
  <c r="LA2" i="2" s="1"/>
  <c r="LB2" i="2" s="1"/>
  <c r="LC2" i="2" s="1"/>
  <c r="LD2" i="2" s="1"/>
  <c r="LE2" i="2" s="1"/>
  <c r="LF2" i="2" s="1"/>
  <c r="LG2" i="2" s="1"/>
  <c r="LH2" i="2" s="1"/>
  <c r="LI2" i="2" s="1"/>
  <c r="LJ2" i="2" s="1"/>
  <c r="LK2" i="2" s="1"/>
  <c r="LL2" i="2" s="1"/>
  <c r="LM2" i="2" s="1"/>
  <c r="LN2" i="2" s="1"/>
  <c r="LO2" i="2" s="1"/>
  <c r="LP2" i="2" s="1"/>
  <c r="LQ2" i="2" s="1"/>
  <c r="LR2" i="2" s="1"/>
  <c r="LS2" i="2" s="1"/>
  <c r="LT2" i="2" s="1"/>
  <c r="LU2" i="2" s="1"/>
  <c r="LV2" i="2" s="1"/>
  <c r="LW2" i="2" s="1"/>
  <c r="LX2" i="2" s="1"/>
  <c r="LY2" i="2" s="1"/>
  <c r="LZ2" i="2" s="1"/>
  <c r="MA2" i="2" s="1"/>
  <c r="MB2" i="2" s="1"/>
  <c r="MC2" i="2" s="1"/>
  <c r="MD2" i="2" s="1"/>
  <c r="ME2" i="2" s="1"/>
  <c r="MF2" i="2" s="1"/>
  <c r="MG2" i="2" s="1"/>
  <c r="MH2" i="2" s="1"/>
  <c r="MI2" i="2" s="1"/>
  <c r="MJ2" i="2" s="1"/>
  <c r="MK2" i="2" s="1"/>
  <c r="ML2" i="2" s="1"/>
  <c r="MM2" i="2" s="1"/>
  <c r="MN2" i="2" s="1"/>
  <c r="MO2" i="2" s="1"/>
  <c r="MP2" i="2" s="1"/>
  <c r="MQ2" i="2" s="1"/>
  <c r="MR2" i="2" s="1"/>
  <c r="MS2" i="2" s="1"/>
  <c r="MT2" i="2" s="1"/>
  <c r="MU2" i="2" s="1"/>
  <c r="MV2" i="2" s="1"/>
  <c r="MW2" i="2" s="1"/>
  <c r="MX2" i="2" s="1"/>
  <c r="MY2" i="2" s="1"/>
  <c r="MZ2" i="2" s="1"/>
  <c r="NA2" i="2" s="1"/>
  <c r="NB2" i="2" s="1"/>
  <c r="NC2" i="2" s="1"/>
  <c r="H22" i="2"/>
  <c r="F101" i="2" s="1" a="1"/>
  <c r="F101" i="2" s="1"/>
  <c r="H17" i="2"/>
  <c r="H23" i="2" s="1"/>
  <c r="H12" i="2"/>
  <c r="H8" i="2" s="1"/>
  <c r="H7" i="2"/>
  <c r="H4" i="2" s="1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G23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Q8" i="2"/>
  <c r="P8" i="2"/>
  <c r="O8" i="2"/>
  <c r="N8" i="2"/>
  <c r="M8" i="2"/>
  <c r="L8" i="2"/>
  <c r="K8" i="2"/>
  <c r="J8" i="2"/>
  <c r="I8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G4" i="2"/>
  <c r="F76" i="2"/>
  <c r="F70" i="2"/>
  <c r="F69" i="2"/>
  <c r="F68" i="2"/>
  <c r="F63" i="2"/>
  <c r="F62" i="2"/>
  <c r="F59" i="2"/>
  <c r="F58" i="2"/>
  <c r="F57" i="2"/>
  <c r="F51" i="2"/>
  <c r="F50" i="2"/>
  <c r="F43" i="2"/>
  <c r="F39" i="2"/>
  <c r="F38" i="2"/>
  <c r="F32" i="2"/>
  <c r="F31" i="2"/>
  <c r="F26" i="2"/>
  <c r="F23" i="2"/>
  <c r="F18" i="2"/>
  <c r="F13" i="2"/>
  <c r="F4" i="2"/>
  <c r="F8" i="2"/>
  <c r="F97" i="2" l="1" a="1"/>
  <c r="F97" i="2" s="1"/>
  <c r="F83" i="2" a="1"/>
  <c r="F83" i="2" s="1"/>
  <c r="F102" i="2" a="1"/>
  <c r="F102" i="2" s="1"/>
  <c r="F118" i="2" a="1"/>
  <c r="F118" i="2" s="1"/>
  <c r="F141" i="2" a="1"/>
  <c r="F141" i="2" s="1"/>
  <c r="F128" i="2" a="1"/>
  <c r="F128" i="2" s="1"/>
  <c r="F129" i="2" a="1"/>
  <c r="F129" i="2" s="1"/>
  <c r="F148" i="2" a="1"/>
  <c r="F148" i="2" s="1"/>
  <c r="F110" i="2" a="1"/>
  <c r="F110" i="2" s="1"/>
  <c r="F136" i="2" a="1"/>
  <c r="F136" i="2" s="1"/>
  <c r="F147" i="2" a="1"/>
  <c r="F147" i="2" s="1"/>
  <c r="F140" i="2" a="1"/>
  <c r="F140" i="2" s="1"/>
  <c r="F87" i="2" a="1"/>
  <c r="F87" i="2" s="1"/>
  <c r="F135" i="2" a="1"/>
  <c r="F135" i="2" s="1"/>
  <c r="F154" i="2" a="1"/>
  <c r="F154" i="2" s="1"/>
  <c r="F121" i="2" a="1"/>
  <c r="F121" i="2" s="1"/>
  <c r="F146" i="2" a="1"/>
  <c r="F146" i="2" s="1"/>
  <c r="F117" i="2" a="1"/>
  <c r="F117" i="2" s="1"/>
  <c r="F105" i="2" a="1"/>
  <c r="F105" i="2" s="1"/>
  <c r="F92" i="2" a="1"/>
  <c r="F92" i="2" s="1"/>
  <c r="F111" i="2" a="1"/>
  <c r="F111" i="2" s="1"/>
  <c r="F137" i="2" a="1"/>
  <c r="F137" i="2" s="1"/>
  <c r="F91" i="2" a="1"/>
  <c r="F91" i="2" s="1"/>
  <c r="F86" i="2" a="1"/>
  <c r="F86" i="2" s="1"/>
  <c r="F96" i="2" a="1"/>
  <c r="F9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<sst xmlns="http://schemas.openxmlformats.org/spreadsheetml/2006/main" count="7159" uniqueCount="945">
  <si>
    <t>CRITICOOL - Verbinding verbroken</t>
  </si>
  <si>
    <t>general</t>
  </si>
  <si>
    <t>thermo_device</t>
  </si>
  <si>
    <t>NA</t>
  </si>
  <si>
    <t>Hoog</t>
  </si>
  <si>
    <t>Thermoregulator</t>
  </si>
  <si>
    <t>Technical</t>
  </si>
  <si>
    <t>DATEXOHMEDACOMVENTILATOR - Air Supply Pressure Low</t>
  </si>
  <si>
    <t>device</t>
  </si>
  <si>
    <t>vent_device</t>
  </si>
  <si>
    <t>supply_issue</t>
  </si>
  <si>
    <t>Ventilator</t>
  </si>
  <si>
    <t>Pulmonary</t>
  </si>
  <si>
    <t>lung</t>
  </si>
  <si>
    <t>DATEXOHMEDACOMVENTILATOR - Apnea</t>
  </si>
  <si>
    <t>ecg</t>
  </si>
  <si>
    <t>apnea</t>
  </si>
  <si>
    <t>Apnea</t>
  </si>
  <si>
    <t>low</t>
  </si>
  <si>
    <t>Physiological</t>
  </si>
  <si>
    <t>DATEXOHMEDACOMVENTILATOR - Apnea Alarm Off</t>
  </si>
  <si>
    <t>DATEXOHMEDACOMVENTILATOR - Backup Mode Active</t>
  </si>
  <si>
    <t>DATEXOHMEDACOMVENTILATOR - Breathing Circuit Occlusion</t>
  </si>
  <si>
    <t>occlusion</t>
  </si>
  <si>
    <t>vent_occlusion</t>
  </si>
  <si>
    <t>Vent_occlusion</t>
  </si>
  <si>
    <t>DATEXOHMEDACOMVENTILATOR - Circuit Leak</t>
  </si>
  <si>
    <t>leak</t>
  </si>
  <si>
    <t>vent_leak</t>
  </si>
  <si>
    <t>Vent_leak</t>
  </si>
  <si>
    <t>DATEXOHMEDACOMVENTILATOR - Circuit Leak Alarm Off</t>
  </si>
  <si>
    <t>DATEXOHMEDACOMVENTILATOR - Clean Neo Flow Sensor</t>
  </si>
  <si>
    <t>sens_malfunction</t>
  </si>
  <si>
    <t>DATEXOHMEDACOMVENTILATOR - Connect Nebulizer</t>
  </si>
  <si>
    <t>DATEXOHMEDACOMVENTILATOR - Exp Flow Sensor Error</t>
  </si>
  <si>
    <t>DATEXOHMEDACOMVENTILATOR - FiO2 High</t>
  </si>
  <si>
    <t>DATEXOHMEDACOMVENTILATOR - MVexp High</t>
  </si>
  <si>
    <t>mv</t>
  </si>
  <si>
    <t>vent_mv</t>
  </si>
  <si>
    <t>Vent_mv</t>
  </si>
  <si>
    <t>high</t>
  </si>
  <si>
    <t>DATEXOHMEDACOMVENTILATOR - MVexp Low</t>
  </si>
  <si>
    <t>DATEXOHMEDACOMVENTILATOR - MVexp Low Alarm Off</t>
  </si>
  <si>
    <t>DATEXOHMEDACOMVENTILATOR - Neo Flow Sensor Error</t>
  </si>
  <si>
    <t>DATEXOHMEDACOMVENTILATOR - Neo Flow Sensor Off</t>
  </si>
  <si>
    <t>DATEXOHMEDACOMVENTILATOR - Neo Flow Sensor Reversed</t>
  </si>
  <si>
    <t>DATEXOHMEDACOMVENTILATOR - No Expiratory Flow Sensor</t>
  </si>
  <si>
    <t>DATEXOHMEDACOMVENTILATOR - No Gas Supply Pressure</t>
  </si>
  <si>
    <t>DATEXOHMEDACOMVENTILATOR - No Neo Flow Sensor</t>
  </si>
  <si>
    <t>DATEXOHMEDACOMVENTILATOR - O2 Supply Pressure Low</t>
  </si>
  <si>
    <t>DATEXOHMEDACOMVENTILATOR - On Battery</t>
  </si>
  <si>
    <t>DATEXOHMEDACOMVENTILATOR - Patient Connected?</t>
  </si>
  <si>
    <t>DATEXOHMEDACOMVENTILATOR - Patient Connection Leak</t>
  </si>
  <si>
    <t>DATEXOHMEDACOMVENTILATOR - Patient Disconnected</t>
  </si>
  <si>
    <t>discon</t>
  </si>
  <si>
    <t>vent_disconnection</t>
  </si>
  <si>
    <t>Vent_disconnection</t>
  </si>
  <si>
    <t>disconnection</t>
  </si>
  <si>
    <t>DATEXOHMEDACOMVENTILATOR - PEEPe High</t>
  </si>
  <si>
    <t>peep</t>
  </si>
  <si>
    <t>vent_peep</t>
  </si>
  <si>
    <t>Vent_peep</t>
  </si>
  <si>
    <t>DATEXOHMEDACOMVENTILATOR - PEEPe Low</t>
  </si>
  <si>
    <t>DATEXOHMEDACOMVENTILATOR - Plimit Reached</t>
  </si>
  <si>
    <t>pressure</t>
  </si>
  <si>
    <t>vent_pressure</t>
  </si>
  <si>
    <t>Vent_pressure</t>
  </si>
  <si>
    <t>DATEXOHMEDACOMVENTILATOR - Ppeak High</t>
  </si>
  <si>
    <t>DATEXOHMEDACOMVENTILATOR - Ppeak Low</t>
  </si>
  <si>
    <t>DATEXOHMEDACOMVENTILATOR - Relief Valve Opened</t>
  </si>
  <si>
    <t>DATEXOHMEDACOMVENTILATOR - RR High</t>
  </si>
  <si>
    <t>rr</t>
  </si>
  <si>
    <t>vent_rr</t>
  </si>
  <si>
    <t>Vent_rr</t>
  </si>
  <si>
    <t>DATEXOHMEDACOMVENTILATOR - RR Low</t>
  </si>
  <si>
    <t>DATEXOHMEDACOMVENTILATOR - Verbinding verbroken</t>
  </si>
  <si>
    <t>DATEXOHMEDACOMVENTILATOR - Volume Delivery Error</t>
  </si>
  <si>
    <t>volume_err</t>
  </si>
  <si>
    <t>DATEXOHMEDACOMVENTILATOR - VT Not Achieved</t>
  </si>
  <si>
    <t>tv</t>
  </si>
  <si>
    <t>vent_tv</t>
  </si>
  <si>
    <t>Vent_tv</t>
  </si>
  <si>
    <t>DATEXOHMEDACOMVENTILATOR - VTexp High</t>
  </si>
  <si>
    <t>DATEXOHMEDACOMVENTILATOR - VTexp Low</t>
  </si>
  <si>
    <t>HULBUS - 055</t>
  </si>
  <si>
    <t>HULBUS - 067</t>
  </si>
  <si>
    <t>HULBUS - 101</t>
  </si>
  <si>
    <t>HULBUS - 173</t>
  </si>
  <si>
    <t>HULBUS - 332</t>
  </si>
  <si>
    <t>HULBUS - 343</t>
  </si>
  <si>
    <t>HULBUS - 344</t>
  </si>
  <si>
    <t>HULBUS - 345</t>
  </si>
  <si>
    <t>HULBUS - 357</t>
  </si>
  <si>
    <t>HULBUS - 365</t>
  </si>
  <si>
    <t>HULBUS - 366</t>
  </si>
  <si>
    <t>HULBUS - 367</t>
  </si>
  <si>
    <t>HULBUS - 368</t>
  </si>
  <si>
    <t>HULBUS - 369</t>
  </si>
  <si>
    <t>HULBUS - 370</t>
  </si>
  <si>
    <t>HULBUS - Amp not reached</t>
  </si>
  <si>
    <t>amp</t>
  </si>
  <si>
    <t>vent_amp</t>
  </si>
  <si>
    <t>Vent_amp</t>
  </si>
  <si>
    <t>HULBUS - Apnea</t>
  </si>
  <si>
    <t>vent_apnea</t>
  </si>
  <si>
    <t>Vent_apnea</t>
  </si>
  <si>
    <t>HULBUS - CPAP high</t>
  </si>
  <si>
    <t>cpap</t>
  </si>
  <si>
    <t>vent_cpap</t>
  </si>
  <si>
    <t>Vent_cpap</t>
  </si>
  <si>
    <t>HULBUS - CPAP low</t>
  </si>
  <si>
    <t xml:space="preserve">HULBUS - Disconnection </t>
  </si>
  <si>
    <t xml:space="preserve">HULBUS - Flow sensor </t>
  </si>
  <si>
    <t>HULBUS - Freq too high</t>
  </si>
  <si>
    <t xml:space="preserve">HULBUS - Gas Supply Failed </t>
  </si>
  <si>
    <t>HULBUS - Leak too high</t>
  </si>
  <si>
    <t>HULBUS - MV high</t>
  </si>
  <si>
    <t>HULBUS - MV low</t>
  </si>
  <si>
    <t xml:space="preserve">HULBUS - O2 Measurement </t>
  </si>
  <si>
    <t>setting_delay</t>
  </si>
  <si>
    <t>HULBUS - PEEP not reached</t>
  </si>
  <si>
    <t>HULBUS - Pinsp n. reached</t>
  </si>
  <si>
    <t>HULBUS - Ppeak too high</t>
  </si>
  <si>
    <t>HULBUS - Ppeak too low</t>
  </si>
  <si>
    <t>HULBUS - Pressure E-Tube</t>
  </si>
  <si>
    <t>HULBUS - Pressure I-Tube</t>
  </si>
  <si>
    <t>HULBUS - Techn. Failure (30)</t>
  </si>
  <si>
    <t>unknown</t>
  </si>
  <si>
    <t>HULBUS - Techn. Failure (32)</t>
  </si>
  <si>
    <t>HULBUS - Techn. Failure (35)</t>
  </si>
  <si>
    <t>HULBUS - Techn. Failure (36)</t>
  </si>
  <si>
    <t>HULBUS - Verbinding verbroken</t>
  </si>
  <si>
    <t>HULBUS - Vol not reached</t>
  </si>
  <si>
    <t>HULBUS - Vte high</t>
  </si>
  <si>
    <t>MEDIBUS - Air temperature high</t>
  </si>
  <si>
    <t>incubator_device</t>
  </si>
  <si>
    <t>Medium</t>
  </si>
  <si>
    <t>Incubator</t>
  </si>
  <si>
    <t>MEDIBUS - Air temperature low</t>
  </si>
  <si>
    <t>Laag</t>
  </si>
  <si>
    <t>MEDIBUS - Air temperature sensor inop</t>
  </si>
  <si>
    <t>MEDIBUS - Central skin temperature &lt; low limit</t>
  </si>
  <si>
    <t>temp</t>
  </si>
  <si>
    <t>incubator_temp</t>
  </si>
  <si>
    <t>Incubator_temp</t>
  </si>
  <si>
    <t>Whole body</t>
  </si>
  <si>
    <t>MEDIBUS - Central skin temperature &gt; high limit</t>
  </si>
  <si>
    <t>MEDIBUS - Central skin temperature failure</t>
  </si>
  <si>
    <t>MEDIBUS - Check patient</t>
  </si>
  <si>
    <t>MEDIBUS - Heated mattress faulty</t>
  </si>
  <si>
    <t>MEDIBUS - Hood open - check hood</t>
  </si>
  <si>
    <t>MEDIBUS - Humidifier inoperable</t>
  </si>
  <si>
    <t>MEDIBUS - Humidity low</t>
  </si>
  <si>
    <t>MEDIBUS - Humidity Sensor inoperable</t>
  </si>
  <si>
    <t>MEDIBUS - Instellingen verloren</t>
  </si>
  <si>
    <t>MEDIBUS - Mattress temperature  setting deviation</t>
  </si>
  <si>
    <t>MEDIBUS - Radiant heater after 15 mins. operation</t>
  </si>
  <si>
    <t>MEDIBUS - Setting, alarm limit or ventilation mode changed</t>
  </si>
  <si>
    <t>MEDIBUS - Speaker failure</t>
  </si>
  <si>
    <t>MEDIBUS - System fault</t>
  </si>
  <si>
    <t>MEDIBUS - Temp. 1  Probe disconnected or fault</t>
  </si>
  <si>
    <t>MEDIBUS - Temp. 1  Setting Deviation &gt; 0,5 C</t>
  </si>
  <si>
    <t>MEDIBUS - Temp.1 too high</t>
  </si>
  <si>
    <t>MEDIBUS - Ventilator storing</t>
  </si>
  <si>
    <t>MEDIBUS - Verbinding verbroken</t>
  </si>
  <si>
    <t>MEDIBUS - Water level low</t>
  </si>
  <si>
    <t>PHILIPSMONITOR - !!! Ao btn bereik</t>
  </si>
  <si>
    <t>vascBp</t>
  </si>
  <si>
    <t>vasc_pressure</t>
  </si>
  <si>
    <t>sign_qual</t>
  </si>
  <si>
    <t>Monitor</t>
  </si>
  <si>
    <t>cardiovascular</t>
  </si>
  <si>
    <t>vascular</t>
  </si>
  <si>
    <t>PHILIPSMONITOR - ?? AoM hoog og</t>
  </si>
  <si>
    <t>PHILIPSMONITOR - ?? AoM laag ag</t>
  </si>
  <si>
    <t>PHILIPSMONITOR - ?? AoS hoog og</t>
  </si>
  <si>
    <t>PHILIPSMONITOR - ?? AoS laag ag</t>
  </si>
  <si>
    <t>PHILIPSMONITOR - ?? awRF hoog g</t>
  </si>
  <si>
    <t>PHILIPSMONITOR - ?? awRF laag g</t>
  </si>
  <si>
    <t>PHILIPSMONITOR - ?? CPP hoog og</t>
  </si>
  <si>
    <t>PHILIPSMONITOR - ?? CPP laag ag</t>
  </si>
  <si>
    <t>PHILIPSMONITOR - ?? CVDm laag g</t>
  </si>
  <si>
    <t>PHILIPSMONITOR - ?? etCO2 hoog</t>
  </si>
  <si>
    <t>gas</t>
  </si>
  <si>
    <t>co2</t>
  </si>
  <si>
    <t>PHILIPSMONITOR - ?? EXTs hoog g</t>
  </si>
  <si>
    <t>PHILIPSMONITOR - ?? ICPm hoog g</t>
  </si>
  <si>
    <t>brain_sensor</t>
  </si>
  <si>
    <t>brain_pressure</t>
  </si>
  <si>
    <t>brain</t>
  </si>
  <si>
    <t>PHILIPSMONITOR - ?? ICPm laag g</t>
  </si>
  <si>
    <t>PHILIPSMONITOR - ?? imCO2 hoog</t>
  </si>
  <si>
    <t>CO2</t>
  </si>
  <si>
    <t>PHILIPSMONITOR - ?? PAPd hoog g</t>
  </si>
  <si>
    <t>PHILIPSMONITOR - ?? PAPm hoog g</t>
  </si>
  <si>
    <t>PHILIPSMONITOR - ?? Pm laag aag</t>
  </si>
  <si>
    <t>PHILIPSMONITOR - ?? Ps hoog oog</t>
  </si>
  <si>
    <t>PHILIPSMONITOR - ?? SpO2l hoog</t>
  </si>
  <si>
    <t>sat</t>
  </si>
  <si>
    <t>spo2</t>
  </si>
  <si>
    <t>PHILIPSMONITOR - ?? SpO2po hoog</t>
  </si>
  <si>
    <t>PHILIPSMONITOR - ?? SpO2po laag</t>
  </si>
  <si>
    <t>PHILIPSMONITOR - ?? SpO2pr hoog</t>
  </si>
  <si>
    <t>PHILIPSMONITOR - ?? SpO2pr laag</t>
  </si>
  <si>
    <t>PHILIPSMONITOR - ?? SpO2r hoog</t>
  </si>
  <si>
    <t>PHILIPSMONITOR - ?? ST-II laag</t>
  </si>
  <si>
    <t>heart</t>
  </si>
  <si>
    <t>PHILIPSMONITOR - ?? ST-V hoog g</t>
  </si>
  <si>
    <t>PHILIPSMONITOR - ?? ST-V laag g</t>
  </si>
  <si>
    <t>PHILIPSMONITOR - ?? Temp hoog</t>
  </si>
  <si>
    <t>na_high</t>
  </si>
  <si>
    <t>PHILIPSMONITOR - ?? Thuid hoog</t>
  </si>
  <si>
    <t>skin_high</t>
  </si>
  <si>
    <t>PHILIPSMONITOR - ?? Thuid laag</t>
  </si>
  <si>
    <t>skin_low</t>
  </si>
  <si>
    <t>PHILIPSMONITOR - ?? Tkern hoog</t>
  </si>
  <si>
    <t>core_high</t>
  </si>
  <si>
    <t>PHILIPSMONITOR - ?? Tkern laag</t>
  </si>
  <si>
    <t>core_low</t>
  </si>
  <si>
    <t>PHILIPSMONITOR - ??? Ao losgeraakt</t>
  </si>
  <si>
    <t>PHILIPSMONITOR - ??? Brady (pols)</t>
  </si>
  <si>
    <t>pols</t>
  </si>
  <si>
    <t>hr</t>
  </si>
  <si>
    <t xml:space="preserve">PHILIPSMONITOR - ??? Desaturatie </t>
  </si>
  <si>
    <t>PHILIPSMONITOR - ??? P losgeraakt t</t>
  </si>
  <si>
    <t>PHILIPSMONITOR - ??? PAP losgeraakt</t>
  </si>
  <si>
    <t xml:space="preserve">PHILIPSMONITOR - ???ALARM LOW </t>
  </si>
  <si>
    <t>ext</t>
  </si>
  <si>
    <t>PHILIPSMONITOR - ???Alarm Low Ch3</t>
  </si>
  <si>
    <t>PHILIPSMONITOR - ???Alarm Low Ch4</t>
  </si>
  <si>
    <t>PHILIPSMONITOR - ??SDM HI/LO tcpCO2</t>
  </si>
  <si>
    <t>PHILIPSMONITOR - ??SDM HI/LO tcpO2</t>
  </si>
  <si>
    <t>PHILIPSMONITOR - ??STE III ,aVF</t>
  </si>
  <si>
    <t>rhythm_variation</t>
  </si>
  <si>
    <t>PHILIPSMONITOR - ?Temp contr.bron</t>
  </si>
  <si>
    <t>PHILIPSMONITOR - ABP artefact</t>
  </si>
  <si>
    <t>abp</t>
  </si>
  <si>
    <t>PHILIPSMONITOR - ABP buiten bereik</t>
  </si>
  <si>
    <t>PHILIPSMONITOR - ABP contr.nulling</t>
  </si>
  <si>
    <t>PHILIPSMONITOR - ABP geen transducer</t>
  </si>
  <si>
    <t>PHILIPSMONITOR - ABP losgeraakt</t>
  </si>
  <si>
    <t>PHILIPSMONITOR - ABP pulseert niet</t>
  </si>
  <si>
    <t>PHILIPSMONITOR - ABP slecht signaal</t>
  </si>
  <si>
    <t xml:space="preserve">PHILIPSMONITOR - ABP uit gedaan </t>
  </si>
  <si>
    <t>PHILIPSMONITOR - ABP verkleinen</t>
  </si>
  <si>
    <t>PHILIPSMONITOR - ABPd hoog</t>
  </si>
  <si>
    <t>PHILIPSMONITOR - ABPd laag</t>
  </si>
  <si>
    <t xml:space="preserve">PHILIPSMONITOR - ABPm hoog </t>
  </si>
  <si>
    <t>PHILIPSMONITOR - ABPm laag</t>
  </si>
  <si>
    <t>PHILIPSMONITOR - ABPmLaag</t>
  </si>
  <si>
    <t xml:space="preserve">PHILIPSMONITOR - ABPs hoog </t>
  </si>
  <si>
    <t xml:space="preserve">PHILIPSMONITOR - ABPs Laag </t>
  </si>
  <si>
    <t xml:space="preserve">PHILIPSMONITOR - ABPs laag </t>
  </si>
  <si>
    <t>PHILIPSMONITOR - Ao artefact</t>
  </si>
  <si>
    <t>PHILIPSMONITOR - Ao contr. nulling</t>
  </si>
  <si>
    <t>PHILIPSMONITOR - Ao geen puls</t>
  </si>
  <si>
    <t>PHILIPSMONITOR - Ao geen transducer</t>
  </si>
  <si>
    <t>PHILIPSMONITOR - Ao slecht signaal</t>
  </si>
  <si>
    <t>PHILIPSMONITOR - Ao Wijzig schl hl</t>
  </si>
  <si>
    <t xml:space="preserve">PHILIPSMONITOR - Apneu </t>
  </si>
  <si>
    <t>apneu</t>
  </si>
  <si>
    <t>PHILIPSMONITOR - App. contr.</t>
  </si>
  <si>
    <t>PHILIPSMONITOR - App. contr. conf.</t>
  </si>
  <si>
    <t>PHILIPSMONITOR - App. niet onderst.</t>
  </si>
  <si>
    <t xml:space="preserve">PHILIPSMONITOR - Asystolie </t>
  </si>
  <si>
    <t>asystolie</t>
  </si>
  <si>
    <t>PHILIPSMONITOR - BATTERY LOW</t>
  </si>
  <si>
    <t>PHILIPSMONITOR - Brady (pols)</t>
  </si>
  <si>
    <t>PHILIPSMONITOR - C elektrode los</t>
  </si>
  <si>
    <t>PHILIPSMONITOR - C.O. uit gedaan n</t>
  </si>
  <si>
    <t>berek</t>
  </si>
  <si>
    <t>vasc_output</t>
  </si>
  <si>
    <t>PHILIPSMONITOR - CCO geen ABP</t>
  </si>
  <si>
    <t>PHILIPSMONITOR - CCO/geen bloedtemp</t>
  </si>
  <si>
    <t>PHILIPSMONITOR - CO2 app. defect</t>
  </si>
  <si>
    <t>PHILIPSMONITOR - CO2 auto nulling</t>
  </si>
  <si>
    <t>PHILIPSMONITOR - CO2 ctr adapter er</t>
  </si>
  <si>
    <t>PHILIPSMONITOR - CO2 geen sensor or</t>
  </si>
  <si>
    <t>PHILIPSMONITOR - CO2 geen slang</t>
  </si>
  <si>
    <t>PHILIPSMONITOR - CO2 null. misl.</t>
  </si>
  <si>
    <t>PHILIPSMONITOR - CO2 pomp uit</t>
  </si>
  <si>
    <t>PHILIPSMONITOR - CO2 sens.opwarm</t>
  </si>
  <si>
    <t>PHILIPSMONITOR - CO2 te groot</t>
  </si>
  <si>
    <t>PHILIPSMONITOR - CO2 wzig schaal l</t>
  </si>
  <si>
    <t>PHILIPSMONITOR - Contr SyncOut-kabl</t>
  </si>
  <si>
    <t>PHILIPSMONITOR - Contr. Instellingen</t>
  </si>
  <si>
    <t>PHILIPSMONITOR - Contr. SpeedPoint</t>
  </si>
  <si>
    <t>PHILIPSMONITOR - Contrl touchscreen</t>
  </si>
  <si>
    <t>PHILIPSMONITOR - Control ECG-kabel</t>
  </si>
  <si>
    <t>PHILIPSMONITOR - Control. pat-ID</t>
  </si>
  <si>
    <t>PHILIPSMONITOR - CPP contr.bron on</t>
  </si>
  <si>
    <t>PHILIPSMONITOR - CVD artefact</t>
  </si>
  <si>
    <t>PHILIPSMONITOR - CVD buiten bereik</t>
  </si>
  <si>
    <t>PHILIPSMONITOR - CVD contr.nulling</t>
  </si>
  <si>
    <t>PHILIPSMONITOR - CVD geen transducer</t>
  </si>
  <si>
    <t xml:space="preserve">PHILIPSMONITOR - CVD verkleinen </t>
  </si>
  <si>
    <t>PHILIPSMONITOR - CVDm hoog</t>
  </si>
  <si>
    <t>PHILIPSMONITOR - Defect FMS-meting</t>
  </si>
  <si>
    <t>PHILIPSMONITOR - Defect MON-meting</t>
  </si>
  <si>
    <t>PHILIPSMONITOR - Delta SpO2 contr. bron</t>
  </si>
  <si>
    <t xml:space="preserve">PHILIPSMONITOR - Desaturatie </t>
  </si>
  <si>
    <t>PHILIPSMONITOR - Doublet PVC's</t>
  </si>
  <si>
    <t>PHILIPSMONITOR - E Afl. los s</t>
  </si>
  <si>
    <t>PHILIPSMONITOR - EC10 defect t</t>
  </si>
  <si>
    <t>PHILIPSMONITOR - EC10 ontkoppeld</t>
  </si>
  <si>
    <t>PHILIPSMONITOR - ECG alarm(n) uit</t>
  </si>
  <si>
    <t>PHILIPSMONITOR - ECG alle leads los</t>
  </si>
  <si>
    <t>PHILIPSMONITOR - ECG defect ct</t>
  </si>
  <si>
    <t>PHILIPSMONITOR - ECG ruissignaal</t>
  </si>
  <si>
    <t>PHILIPSMONITOR - ECG storing in F</t>
  </si>
  <si>
    <t>PHILIPSMONITOR - ECG storing in L</t>
  </si>
  <si>
    <t>PHILIPSMONITOR - ECG storing in R</t>
  </si>
  <si>
    <t>PHILIPSMONITOR - ECG/arr-alrmn uit</t>
  </si>
  <si>
    <t>PHILIPSMONITOR - Einde onreg. HF</t>
  </si>
  <si>
    <t>PHILIPSMONITOR - EtCO2 laag</t>
  </si>
  <si>
    <t xml:space="preserve">PHILIPSMONITOR - EXCESSIVE LIGHT </t>
  </si>
  <si>
    <t>PHILIPSMONITOR - EXT artefact</t>
  </si>
  <si>
    <t>PHILIPSMONITOR - EXT buiten bereik</t>
  </si>
  <si>
    <t>PHILIPSMONITOR - Ext CNTR CONFIG</t>
  </si>
  <si>
    <t>PHILIPSMONITOR - EXT contr. Nulling</t>
  </si>
  <si>
    <t>PHILIPSMONITOR - EXT Geen transdcr</t>
  </si>
  <si>
    <t>PHILIPSMONITOR - EXT pulseert niet</t>
  </si>
  <si>
    <t>PHILIPSMONITOR - EXT verkleinen</t>
  </si>
  <si>
    <t>PHILIPSMONITOR - Extr. lage hartfreq.</t>
  </si>
  <si>
    <t>PHILIPSMONITOR - Extreme Tachy</t>
  </si>
  <si>
    <t>PHILIPSMONITOR - F elektrode los</t>
  </si>
  <si>
    <t>PHILIPSMONITOR - FMS ontkoppeld</t>
  </si>
  <si>
    <t>PHILIPSMONITOR - Geen app.geg.</t>
  </si>
  <si>
    <t>PHILIPSMONITOR - Geen Centrale Bew.</t>
  </si>
  <si>
    <t>PHILIPSMONITOR - Geen kal. voor CCO</t>
  </si>
  <si>
    <t>PHILIPSMONITOR - Gemiste slag</t>
  </si>
  <si>
    <t>PHILIPSMONITOR - HF hoog</t>
  </si>
  <si>
    <t>PHILIPSMONITOR - HF onregelmatig</t>
  </si>
  <si>
    <t>PHILIPSMONITOR - ICP artefact</t>
  </si>
  <si>
    <t>PHILIPSMONITOR - ICP buiten bereik</t>
  </si>
  <si>
    <t>PHILIPSMONITOR - ICP Geen transdcr</t>
  </si>
  <si>
    <t>PHILIPSMONITOR - ICP ontkoppeld ld</t>
  </si>
  <si>
    <t>PHILIPSMONITOR - ICP Wijzig schl l</t>
  </si>
  <si>
    <t>PHILIPSMONITOR - L elektrode los</t>
  </si>
  <si>
    <t>PHILIPSMONITOR - Lage ademfreq.</t>
  </si>
  <si>
    <t>PHILIPSMONITOR - Lage hartfreq.</t>
  </si>
  <si>
    <t>PHILIPSMONITOR - LAN incompatibel</t>
  </si>
  <si>
    <t>PHILIPSMONITOR - Meting uitgeschakeld</t>
  </si>
  <si>
    <t>PHILIPSMONITOR - MMS onmogelijk</t>
  </si>
  <si>
    <t>PHILIPSMONITOR - MMS ontkoppeld</t>
  </si>
  <si>
    <t>PHILIPSMONITOR - MMSExt.nietonderst</t>
  </si>
  <si>
    <t>PHILIPSMONITOR - MMX losgekop. p.</t>
  </si>
  <si>
    <t>PHILIPSMONITOR - Multivorm PVC's</t>
  </si>
  <si>
    <t>PHILIPSMONITOR - N elektrode los</t>
  </si>
  <si>
    <t>PHILIPSMONITOR - NiBD contr. mancht</t>
  </si>
  <si>
    <t>manchet</t>
  </si>
  <si>
    <t>nabp</t>
  </si>
  <si>
    <t>PHILIPSMONITOR - NiBD defect t</t>
  </si>
  <si>
    <t>PHILIPSMONITOR - NiBD manch.ovrdruk</t>
  </si>
  <si>
    <t>PHILIPSMONITOR - NiBD meting faalde</t>
  </si>
  <si>
    <t>PHILIPSMONITOR - NiBD onderbroken</t>
  </si>
  <si>
    <t>PHILIPSMONITOR - NiBD uit gedaan</t>
  </si>
  <si>
    <t>PHILIPSMONITOR - NiBDd hoog</t>
  </si>
  <si>
    <t>PHILIPSMONITOR - NiBDd laag</t>
  </si>
  <si>
    <t>PHILIPSMONITOR - NiBDm hoog</t>
  </si>
  <si>
    <t>PHILIPSMONITOR - NiBDm laag</t>
  </si>
  <si>
    <t>PHILIPSMONITOR - NiBDs hoog</t>
  </si>
  <si>
    <t>PHILIPSMONITOR - NiBDs laag</t>
  </si>
  <si>
    <t>PHILIPSMONITOR - Niet te leren ECG</t>
  </si>
  <si>
    <t>PHILIPSMONITOR - Niet te leren ST</t>
  </si>
  <si>
    <t>PHILIPSMONITOR - P artefact t</t>
  </si>
  <si>
    <t>PHILIPSMONITOR - P contr.nulling g</t>
  </si>
  <si>
    <t>PHILIPSMONITOR - P Geen transdcr r</t>
  </si>
  <si>
    <t>PHILIPSMONITOR - P slecht signaal l</t>
  </si>
  <si>
    <t>PHILIPSMONITOR - P Wijzig schl chl</t>
  </si>
  <si>
    <t>PHILIPSMONITOR - PAP artefact</t>
  </si>
  <si>
    <t>PHILIPSMONITOR - PAP contr. Nulling</t>
  </si>
  <si>
    <t>PHILIPSMONITOR - PAP geen puls</t>
  </si>
  <si>
    <t>PHILIPSMONITOR - PAP slecht signaal</t>
  </si>
  <si>
    <t>PHILIPSMONITOR - PAP Wijzig schl l</t>
  </si>
  <si>
    <t xml:space="preserve">PHILIPSMONITOR - Pauze </t>
  </si>
  <si>
    <t>PHILIPSMONITOR - PI contr leeft pat</t>
  </si>
  <si>
    <t xml:space="preserve">PHILIPSMONITOR - Pols hoog </t>
  </si>
  <si>
    <t xml:space="preserve">PHILIPSMONITOR - Pols laag </t>
  </si>
  <si>
    <t>PHILIPSMONITOR - PPV ABP storingen</t>
  </si>
  <si>
    <t>PHILIPSMONITOR - PPV contr.bron</t>
  </si>
  <si>
    <t>PHILIPSMONITOR - PVC's/min hoog</t>
  </si>
  <si>
    <t>PHILIPSMONITOR - QT-analyse onmog.</t>
  </si>
  <si>
    <t>PHILIPSMONITOR - QTc hoog</t>
  </si>
  <si>
    <t>PHILIPSMONITOR - R elektrode los</t>
  </si>
  <si>
    <t>PHILIPSMONITOR - Resp elektr.los</t>
  </si>
  <si>
    <t>PHILIPSMONITOR - Resp grillig</t>
  </si>
  <si>
    <t>PHILIPSMONITOR - RF hoog</t>
  </si>
  <si>
    <t>PHILIPSMONITOR - SDM BATTERY LOW</t>
  </si>
  <si>
    <t xml:space="preserve">PHILIPSMONITOR - SDM CALIB. RUNNING </t>
  </si>
  <si>
    <t xml:space="preserve">PHILIPSMONITOR - SDM CALIB. SENS. </t>
  </si>
  <si>
    <t xml:space="preserve">PHILIPSMONITOR - SDM CHECK APPLI. </t>
  </si>
  <si>
    <t>PHILIPSMONITOR - SDM CONCT SENS.</t>
  </si>
  <si>
    <t xml:space="preserve">PHILIPSMONITOR - SDM HEATING REDUCD </t>
  </si>
  <si>
    <t>PHILIPSMONITOR - SDM READY FOR USE</t>
  </si>
  <si>
    <t xml:space="preserve">PHILIPSMONITOR - SDM REMEMBR. SENS. </t>
  </si>
  <si>
    <t xml:space="preserve">PHILIPSMONITOR - SDM REPLACE GAS </t>
  </si>
  <si>
    <t>PHILIPSMONITOR - SDM SENS. OFF PAT.</t>
  </si>
  <si>
    <t>PHILIPSMONITOR - SDM SITE TIMEOUT</t>
  </si>
  <si>
    <t xml:space="preserve">PHILIPSMONITOR - SDM SYSTEM MESSAGE </t>
  </si>
  <si>
    <t>PHILIPSMONITOR - SDM T LIM. ACTIVE</t>
  </si>
  <si>
    <t xml:space="preserve">PHILIPSMONITOR - SDM TC MSG. </t>
  </si>
  <si>
    <t xml:space="preserve">PHILIPSMONITOR - SDM TC UNSTBL. </t>
  </si>
  <si>
    <t xml:space="preserve">PHILIPSMONITOR - SENSOR NOT CONN. </t>
  </si>
  <si>
    <t xml:space="preserve">PHILIPSMONITOR - SIGNAL QUALITY </t>
  </si>
  <si>
    <t>PHILIPSMONITOR - SpO2 ctrl sensor r</t>
  </si>
  <si>
    <t>PHILIPSMONITOR - SpO2 defect</t>
  </si>
  <si>
    <t>PHILIPSMONITOR - SpO2 geen pols</t>
  </si>
  <si>
    <t>PHILIPSMONITOR - SpO2 geen sensor</t>
  </si>
  <si>
    <t>PHILIPSMONITOR - SpO2 grillig</t>
  </si>
  <si>
    <t>PHILIPSMONITOR - SpO2 hoog</t>
  </si>
  <si>
    <t>PHILIPSMONITOR - SpO2 interferentie</t>
  </si>
  <si>
    <t>PHILIPSMONITOR - SpO2 l geen puls</t>
  </si>
  <si>
    <t>PHILIPSMONITOR - SpO2 l geen sensor</t>
  </si>
  <si>
    <t>PHILIPSMONITOR - SpO2 l onbk. sensor</t>
  </si>
  <si>
    <t>PHILIPSMONITOR - SpO2 l sensor los</t>
  </si>
  <si>
    <t>PHILIPSMONITOR - SpO2 l zoekend</t>
  </si>
  <si>
    <t xml:space="preserve">PHILIPSMONITOR - SpO2 laag </t>
  </si>
  <si>
    <t>PHILIPSMONITOR - SpO2 lage PFI</t>
  </si>
  <si>
    <t>PHILIPSMONITOR - SpO2 onbk. sensor</t>
  </si>
  <si>
    <t>PHILIPSMONITOR - SpO2 ontkoppeld</t>
  </si>
  <si>
    <t>PHILIPSMONITOR - SpO2 Pols?</t>
  </si>
  <si>
    <t>PHILIPSMONITOR - SpO2 r defect</t>
  </si>
  <si>
    <t>PHILIPSMONITOR - SpO2 r geen puls</t>
  </si>
  <si>
    <t>PHILIPSMONITOR - SpO2 r geen sensor</t>
  </si>
  <si>
    <t>PHILIPSMONITOR - SpO2 r grillig</t>
  </si>
  <si>
    <t>PHILIPSMONITOR - SpO2 r interferentie</t>
  </si>
  <si>
    <t>PHILIPSMONITOR - SpO2 r laag</t>
  </si>
  <si>
    <t>PHILIPSMONITOR - SpO2 r lage PFI</t>
  </si>
  <si>
    <t>PHILIPSMONITOR - SpO2 r onbk. sensor</t>
  </si>
  <si>
    <t>PHILIPSMONITOR - SpO2 r sensor los</t>
  </si>
  <si>
    <t>PHILIPSMONITOR - SpO2 r zoekend</t>
  </si>
  <si>
    <t>PHILIPSMONITOR - SpO2 trage update</t>
  </si>
  <si>
    <t xml:space="preserve">PHILIPSMONITOR - SpO2 zwak signaal </t>
  </si>
  <si>
    <t xml:space="preserve">PHILIPSMONITOR - SpO2-sensor error </t>
  </si>
  <si>
    <t xml:space="preserve">PHILIPSMONITOR - SpO2-sensor los </t>
  </si>
  <si>
    <t>PHILIPSMONITOR - SpO2l ctrl sensor</t>
  </si>
  <si>
    <t>PHILIPSMONITOR - SpO2l grillig</t>
  </si>
  <si>
    <t>PHILIPSMONITOR - SpO2l intrfrentie</t>
  </si>
  <si>
    <t>PHILIPSMONITOR - SpO2l lage PFI</t>
  </si>
  <si>
    <t>PHILIPSMONITOR - SpO2l Pols?</t>
  </si>
  <si>
    <t>PHILIPSMONITOR - SpO2l sens.defect</t>
  </si>
  <si>
    <t>PHILIPSMONITOR - SpO2l trageUpdate</t>
  </si>
  <si>
    <t>PHILIPSMONITOR - SpO2l zwak signaal</t>
  </si>
  <si>
    <t>PHILIPSMONITOR - SpO2po geen puls</t>
  </si>
  <si>
    <t>PHILIPSMONITOR - SpO2po geen sensor</t>
  </si>
  <si>
    <t>PHILIPSMONITOR - SpO2po intrfrentie</t>
  </si>
  <si>
    <t>PHILIPSMONITOR - SpO2po lage PFI</t>
  </si>
  <si>
    <t>PHILIPSMONITOR - SpO2po ontkoppeld</t>
  </si>
  <si>
    <t>PHILIPSMONITOR - SpO2po Pols?</t>
  </si>
  <si>
    <t>PHILIPSMONITOR - SpO2po sensor los</t>
  </si>
  <si>
    <t>PHILIPSMONITOR - SpO2po trageUpdate</t>
  </si>
  <si>
    <t>PHILIPSMONITOR - SpO2po zoekend</t>
  </si>
  <si>
    <t>PHILIPSMONITOR - SpO2pozwak signaal</t>
  </si>
  <si>
    <t>PHILIPSMONITOR - SpO2pr ctrl sensor</t>
  </si>
  <si>
    <t>PHILIPSMONITOR - SpO2pr geen puls</t>
  </si>
  <si>
    <t>PHILIPSMONITOR - SpO2pr geen sensor</t>
  </si>
  <si>
    <t>PHILIPSMONITOR - SpO2pr grillig</t>
  </si>
  <si>
    <t>PHILIPSMONITOR - SpO2pr intrfrentie</t>
  </si>
  <si>
    <t>PHILIPSMONITOR - SpO2pr lage PFI</t>
  </si>
  <si>
    <t>PHILIPSMONITOR - SpO2pr ontkoppeld</t>
  </si>
  <si>
    <t>PHILIPSMONITOR - SpO2pr Pols?</t>
  </si>
  <si>
    <t>PHILIPSMONITOR - SpO2pr sens.defect</t>
  </si>
  <si>
    <t>PHILIPSMONITOR - SpO2pr sensor los</t>
  </si>
  <si>
    <t>PHILIPSMONITOR - SpO2pr trageUpdate</t>
  </si>
  <si>
    <t>PHILIPSMONITOR - SpO2pr zoekend</t>
  </si>
  <si>
    <t>PHILIPSMONITOR - SpO2przwak signaal</t>
  </si>
  <si>
    <t>PHILIPSMONITOR - SpO2r ctrl sensor</t>
  </si>
  <si>
    <t>PHILIPSMONITOR - SpO2r ontkoppeld</t>
  </si>
  <si>
    <t>PHILIPSMONITOR - SpO2r Pols?</t>
  </si>
  <si>
    <t>PHILIPSMONITOR - SpO2r sens.defect</t>
  </si>
  <si>
    <t>PHILIPSMONITOR - SpO2r trageUpdate</t>
  </si>
  <si>
    <t>PHILIPSMONITOR - ST-II hoog</t>
  </si>
  <si>
    <t>PHILIPSMONITOR - Storing in SpO2</t>
  </si>
  <si>
    <t>PHILIPSMONITOR - Storing in SpO2 r</t>
  </si>
  <si>
    <t>PHILIPSMONITOR - Storing in SpO2l</t>
  </si>
  <si>
    <t>PHILIPSMONITOR - Storing in SpO2po</t>
  </si>
  <si>
    <t>PHILIPSMONITOR - Storing in SpO2pr</t>
  </si>
  <si>
    <t>PHILIPSMONITOR - SVR CVD gebruikt t</t>
  </si>
  <si>
    <t xml:space="preserve">PHILIPSMONITOR - Tachy (pols) </t>
  </si>
  <si>
    <t>PHILIPSMONITOR - Tbloed geen sensor</t>
  </si>
  <si>
    <t>PHILIPSMONITOR - Tbloed te groot</t>
  </si>
  <si>
    <t>PHILIPSMONITOR - Temp defect</t>
  </si>
  <si>
    <t>PHILIPSMONITOR - Temp geen sensor</t>
  </si>
  <si>
    <t>PHILIPSMONITOR - Temp laag</t>
  </si>
  <si>
    <t xml:space="preserve">PHILIPSMONITOR - Temp ontkoppeld </t>
  </si>
  <si>
    <t>PHILIPSMONITOR - Temp te groot</t>
  </si>
  <si>
    <t>PHILIPSMONITOR - Thuid geen sensor</t>
  </si>
  <si>
    <t>PHILIPSMONITOR - Thuid te groot</t>
  </si>
  <si>
    <t>PHILIPSMONITOR - Thuid uit gedaan</t>
  </si>
  <si>
    <t>skin_general</t>
  </si>
  <si>
    <t>PHILIPSMONITOR - Tijd voorb:TimerA</t>
  </si>
  <si>
    <t xml:space="preserve">PHILIPSMONITOR - Tkern geen sensor </t>
  </si>
  <si>
    <t>PHILIPSMONITOR - Tkern uit gedaan</t>
  </si>
  <si>
    <t>core_general</t>
  </si>
  <si>
    <t>PHILIPSMONITOR - Tneus geen sensor</t>
  </si>
  <si>
    <t xml:space="preserve">PHILIPSMONITOR - Trect geen sensor </t>
  </si>
  <si>
    <t>rect_low</t>
  </si>
  <si>
    <t>PHILIPSMONITOR - Trect hoog</t>
  </si>
  <si>
    <t>PHILIPSMONITOR - Trect laag</t>
  </si>
  <si>
    <t>rect_high</t>
  </si>
  <si>
    <t>PHILIPSMONITOR - Trect te groot</t>
  </si>
  <si>
    <t>PHILIPSMONITOR - Ventrikel Fibr/Tachy</t>
  </si>
  <si>
    <t>arrhythmia</t>
  </si>
  <si>
    <t>PHILIPSMONITOR - Verbinding verbroken</t>
  </si>
  <si>
    <t>SERVOU - Ademfrequentie hoog</t>
  </si>
  <si>
    <t>SERVOU - Ademfrequentie laag</t>
  </si>
  <si>
    <t>SERVOU - Apneu</t>
  </si>
  <si>
    <t>vent_apneu</t>
  </si>
  <si>
    <t>SERVOU - Beademingsdruk hoog</t>
  </si>
  <si>
    <t>SERVOU - Continue hoge druk</t>
  </si>
  <si>
    <t>SERVOU - CPAP hoog</t>
  </si>
  <si>
    <t>SERVOU - CPAP laag</t>
  </si>
  <si>
    <t>SERVOU - Exp. cass. vervangen</t>
  </si>
  <si>
    <t>SERVOU - Exp. minuutvol. hoog</t>
  </si>
  <si>
    <t>SERVOU - Exp. minuutvol. laag</t>
  </si>
  <si>
    <t>SERVOU - Exp. slang stroming</t>
  </si>
  <si>
    <t>SERVOU - Expiratiecassette los</t>
  </si>
  <si>
    <t>SERVOU - Gastoevoerdruk alarm</t>
  </si>
  <si>
    <t>SERVOU - Geen con. patintact.</t>
  </si>
  <si>
    <t>no_pt_activity</t>
  </si>
  <si>
    <t>SERVOU - Geen patintactiv.</t>
  </si>
  <si>
    <t>SERVOU - Grensalarm</t>
  </si>
  <si>
    <t>vent_unknown</t>
  </si>
  <si>
    <t>Vent_unknown</t>
  </si>
  <si>
    <t>SERVOU - Insp. druk hoog</t>
  </si>
  <si>
    <t>SERVOU - Lage batterijspanning</t>
  </si>
  <si>
    <t>SERVOU - O2-concentratie: Hoog</t>
  </si>
  <si>
    <t>SERVOU - O2-concentratie: Laag</t>
  </si>
  <si>
    <t>SERVOU - Patint los &gt; 1 min</t>
  </si>
  <si>
    <t>prolonged</t>
  </si>
  <si>
    <t>SERVOU - Patintcircuit los</t>
  </si>
  <si>
    <t>short</t>
  </si>
  <si>
    <t>SERVOU - PEEP hoog</t>
  </si>
  <si>
    <t>SERVOU - PEEP laag</t>
  </si>
  <si>
    <t>SERVOU - Te veel lekkage</t>
  </si>
  <si>
    <t>SERVOU - Tijd in wachtstand</t>
  </si>
  <si>
    <t>SERVOU - Verbinding verbroken</t>
  </si>
  <si>
    <t>SERVOU - Volume uit blokkade</t>
  </si>
  <si>
    <t>SERVOU - Werkt op batterijen</t>
  </si>
  <si>
    <t>TRILOGY - 0x119</t>
  </si>
  <si>
    <t>Bericht</t>
  </si>
  <si>
    <t>TRILOGY - 0x72</t>
  </si>
  <si>
    <t>TRILOGY - 0x79</t>
  </si>
  <si>
    <t>TRILOGY - 0xB9</t>
  </si>
  <si>
    <t>TRILOGY - 0xBC</t>
  </si>
  <si>
    <t>TRILOGY - Apneu</t>
  </si>
  <si>
    <t>Vent_apneu</t>
  </si>
  <si>
    <t>TRILOGY - Interne batterij leeg</t>
  </si>
  <si>
    <t>TRILOGY - Lage inademingsdruk</t>
  </si>
  <si>
    <t>TRILOGY - Lage VTe</t>
  </si>
  <si>
    <t>TRILOGY - Netspanning afwezig</t>
  </si>
  <si>
    <t>TRILOGY - Verbinding verbroken</t>
  </si>
  <si>
    <t>HULBUS - Leak too high_2</t>
  </si>
  <si>
    <t>PRISMAFLEX - Verbinding verbroken</t>
  </si>
  <si>
    <t>Dialysis</t>
  </si>
  <si>
    <t xml:space="preserve">PRISMAFLEX - Algemene systeemfout </t>
  </si>
  <si>
    <t>PHILIPSMONITOR - Tkern te groot</t>
  </si>
  <si>
    <t xml:space="preserve">PHILIPSMONITOR - ?? ST-I hoog g </t>
  </si>
  <si>
    <t>UUID</t>
  </si>
  <si>
    <t>Messaage</t>
  </si>
  <si>
    <t>Originating from</t>
  </si>
  <si>
    <t>Parameter</t>
  </si>
  <si>
    <t>ref</t>
  </si>
  <si>
    <t>Categorie</t>
  </si>
  <si>
    <t>Subcategorie</t>
  </si>
  <si>
    <t>alarm_prio_bron</t>
  </si>
  <si>
    <t>Device</t>
  </si>
  <si>
    <t>Alarm.group</t>
  </si>
  <si>
    <t>Organ.system</t>
  </si>
  <si>
    <t>Organ</t>
  </si>
  <si>
    <t>CLINICAL</t>
  </si>
  <si>
    <t>DEVICE</t>
  </si>
  <si>
    <t>Patient</t>
  </si>
  <si>
    <t>PhysiologicalSystem</t>
  </si>
  <si>
    <t>PhysiologicalProcess</t>
  </si>
  <si>
    <t>PhysiologicalProperty</t>
  </si>
  <si>
    <t>PhysicalDevice</t>
  </si>
  <si>
    <t>FunctionalUnit</t>
  </si>
  <si>
    <t>DeviceChannel</t>
  </si>
  <si>
    <t>Metric</t>
  </si>
  <si>
    <t>MeasurementProcess</t>
  </si>
  <si>
    <t>Signal</t>
  </si>
  <si>
    <t>Sensor</t>
  </si>
  <si>
    <t>SensorInterface</t>
  </si>
  <si>
    <t>Integumentary</t>
  </si>
  <si>
    <t>Cardiovascular</t>
  </si>
  <si>
    <t>Neurological</t>
  </si>
  <si>
    <t>Skin</t>
  </si>
  <si>
    <t>Lung</t>
  </si>
  <si>
    <t>Heart</t>
  </si>
  <si>
    <t>Vasculature</t>
  </si>
  <si>
    <t>Pulmonary Ventilation</t>
  </si>
  <si>
    <t>ArterialOxygenSaturation_property</t>
  </si>
  <si>
    <t>PulmonaryOxygenation_process</t>
  </si>
  <si>
    <t>PulmonaryVentilation_process</t>
  </si>
  <si>
    <t>RespiratoryRate_property</t>
  </si>
  <si>
    <t>ArterialSystolicPressure_Property</t>
  </si>
  <si>
    <t>CardiacEjection_Process</t>
  </si>
  <si>
    <t>GaseousDelivery</t>
  </si>
  <si>
    <t>Fract_InhaledO2_Property</t>
  </si>
  <si>
    <t>CardiacContraction_process</t>
  </si>
  <si>
    <t>PhysiologicalMonitor</t>
  </si>
  <si>
    <t>ECG_Module</t>
  </si>
  <si>
    <t>SpO2_Module</t>
  </si>
  <si>
    <t>CO2_Module</t>
  </si>
  <si>
    <t>Temperature_Module</t>
  </si>
  <si>
    <t>NIBP_Module</t>
  </si>
  <si>
    <t>InvasivePressure_Module</t>
  </si>
  <si>
    <t>Respiration_Module</t>
  </si>
  <si>
    <t>PowerUnit</t>
  </si>
  <si>
    <t>CommunicationUnit</t>
  </si>
  <si>
    <t>ControlUnit</t>
  </si>
  <si>
    <t>ECG_Sensor</t>
  </si>
  <si>
    <t>O2_Sensor</t>
  </si>
  <si>
    <t>CO2_Sensor</t>
  </si>
  <si>
    <t>Temp_Sensor</t>
  </si>
  <si>
    <t>Flow_Sensor</t>
  </si>
  <si>
    <t>ECG_Signal</t>
  </si>
  <si>
    <t>SpO2_Signal</t>
  </si>
  <si>
    <t>CO2_Signal</t>
  </si>
  <si>
    <t>Temp_Signal</t>
  </si>
  <si>
    <t>Pressure_Signal</t>
  </si>
  <si>
    <t>Flow_Signal</t>
  </si>
  <si>
    <t>Resp_Signal</t>
  </si>
  <si>
    <t>ECG_RateAnalysis</t>
  </si>
  <si>
    <t>ECG_RhythmAnalysis</t>
  </si>
  <si>
    <t>SpO2_RateAnalysis</t>
  </si>
  <si>
    <t>CO2_Analysis</t>
  </si>
  <si>
    <t>Temp_Analysis</t>
  </si>
  <si>
    <t>Pressure_Analysis</t>
  </si>
  <si>
    <t>NIBP_Analysis</t>
  </si>
  <si>
    <t>Resp_RateAnalysis</t>
  </si>
  <si>
    <t>Resp_RhythmAnalysis</t>
  </si>
  <si>
    <t>AorticPressure</t>
  </si>
  <si>
    <t>AorticPressure_Property</t>
  </si>
  <si>
    <t>PressureMetric</t>
  </si>
  <si>
    <t>hasMeasurementSite</t>
  </si>
  <si>
    <t>hasTemporalFeature</t>
  </si>
  <si>
    <t>hasState</t>
  </si>
  <si>
    <t>Spatial context</t>
  </si>
  <si>
    <t>Temporal context / phase of a waveform</t>
  </si>
  <si>
    <t>derivedByProcess</t>
  </si>
  <si>
    <t>Specifies computational / analytic derivation</t>
  </si>
  <si>
    <t>measuresProperty</t>
  </si>
  <si>
    <t>Link to physiological meanin</t>
  </si>
  <si>
    <t>alarm-relevant state</t>
  </si>
  <si>
    <t>RespiratoryRate_Property</t>
  </si>
  <si>
    <t>RespiratoryRateMetric</t>
  </si>
  <si>
    <t>Patient.hasIdentifier</t>
  </si>
  <si>
    <t>Patient.hasPhysiologicalSystem</t>
  </si>
  <si>
    <t>Patient.hasClinicalState</t>
  </si>
  <si>
    <t>PhysiologicalSystem.hasOrgan</t>
  </si>
  <si>
    <t>PhysiologicalSystem.hasName</t>
  </si>
  <si>
    <t>PhysiologicalSystem.hasSNOMEDCode</t>
  </si>
  <si>
    <t>PhysiologicalSystem.hasState</t>
  </si>
  <si>
    <t>Organ.hasName</t>
  </si>
  <si>
    <t>Organ.hasPhysiologicalProcess</t>
  </si>
  <si>
    <t>Organ.hasSNOMEDCode</t>
  </si>
  <si>
    <t>Organ.hasState</t>
  </si>
  <si>
    <t>PhysiologicalProcess.hasName</t>
  </si>
  <si>
    <t>PhysiologicalProcess.hasState</t>
  </si>
  <si>
    <t>PhysiologicalProperty.hasName</t>
  </si>
  <si>
    <t>PhysiologicalProperty.hasMDCCode</t>
  </si>
  <si>
    <t>PhysiologicalPropert.isMeasuredByMetric</t>
  </si>
  <si>
    <t>Metric.hasName</t>
  </si>
  <si>
    <t>Metric.hasMeasurentSite</t>
  </si>
  <si>
    <t>Metric.measuresPhysiologicalProperty</t>
  </si>
  <si>
    <t>Metric.hasState</t>
  </si>
  <si>
    <t>Metric.temporalFeature</t>
  </si>
  <si>
    <t>Data</t>
  </si>
  <si>
    <t>Object</t>
  </si>
  <si>
    <t>PhysiologicalProcess.dependsOnPhysiologicalProcess</t>
  </si>
  <si>
    <t>PhysiologicalProperty.hasSNOMEDCode</t>
  </si>
  <si>
    <t>PhysiologicalProcess.producesProperty</t>
  </si>
  <si>
    <t>PhysiologicalProperty.partOfPhysiologicalProcess</t>
  </si>
  <si>
    <t>DeviceChannel.hasName</t>
  </si>
  <si>
    <t>DeviceChannel.hasDescription</t>
  </si>
  <si>
    <t>DeviceChannel.hasState</t>
  </si>
  <si>
    <t>DeviceChannel.partOfFunctionalUnit</t>
  </si>
  <si>
    <t>DeviceChannel.hasMetric</t>
  </si>
  <si>
    <t>MeasurementProcess.hasName</t>
  </si>
  <si>
    <t>MeasurementProcess.takesSignal</t>
  </si>
  <si>
    <t>measurementProcess.hasState</t>
  </si>
  <si>
    <t>MeasurementProcess.usesAlgorithm</t>
  </si>
  <si>
    <t>Signal.hasName</t>
  </si>
  <si>
    <t>Signal.hasQuality</t>
  </si>
  <si>
    <t>Signal.isProducedBy</t>
  </si>
  <si>
    <t>Signal.hasState</t>
  </si>
  <si>
    <t>Sensor.hasName</t>
  </si>
  <si>
    <t>Sensor.hasMDCCode</t>
  </si>
  <si>
    <t>sensor.partOfInterface</t>
  </si>
  <si>
    <t>sensor.producesSignal</t>
  </si>
  <si>
    <t>SensorInterfae</t>
  </si>
  <si>
    <t>Sensor.measuresProperty</t>
  </si>
  <si>
    <t>SensorInterface.hasName</t>
  </si>
  <si>
    <t>sensorInterface.partOfFunctionalUnit</t>
  </si>
  <si>
    <t>SensorInterface.ConnectsSensor</t>
  </si>
  <si>
    <t>FunctionalUnit.hasName</t>
  </si>
  <si>
    <t>FunctionalUnit.hasMDCCode</t>
  </si>
  <si>
    <t>FunctionalUnit.hasDeviceChannel</t>
  </si>
  <si>
    <t>PhysicalDevice.hasName</t>
  </si>
  <si>
    <t>PhysicalDevice.hasManufacturer</t>
  </si>
  <si>
    <t>PhysicalDevice.hasModelName</t>
  </si>
  <si>
    <t>PhysicalDevice.hasMDCCode</t>
  </si>
  <si>
    <t>PhysicalDevice.hasFunctionalUnit</t>
  </si>
  <si>
    <t>FunctionalUnit.enablesSensorInterface</t>
  </si>
  <si>
    <t>FunctionalUnit.partOfPhysicalDevice</t>
  </si>
  <si>
    <t>Type</t>
  </si>
  <si>
    <t>Link</t>
  </si>
  <si>
    <t>Example</t>
  </si>
  <si>
    <t>Rzoodsma</t>
  </si>
  <si>
    <t>Pulmonary, Cardiovascular</t>
  </si>
  <si>
    <t>Stable</t>
  </si>
  <si>
    <t>Lungs</t>
  </si>
  <si>
    <t>&lt;SNOMED&gt;</t>
  </si>
  <si>
    <t>pulm_Oxygenation, pulm_Ventilation</t>
  </si>
  <si>
    <t>pulm_oxygenation</t>
  </si>
  <si>
    <t>SaO2</t>
  </si>
  <si>
    <t>pulm_ventilation</t>
  </si>
  <si>
    <t>sufficient</t>
  </si>
  <si>
    <t>&lt;MDCCode&gt;</t>
  </si>
  <si>
    <t>SpO2</t>
  </si>
  <si>
    <t>-</t>
  </si>
  <si>
    <t>Aorta</t>
  </si>
  <si>
    <t>Systolic</t>
  </si>
  <si>
    <t>PressureWaveFormAnalysis</t>
  </si>
  <si>
    <t>ArterialPressure</t>
  </si>
  <si>
    <t>High</t>
  </si>
  <si>
    <t>AorticPressureChannel</t>
  </si>
  <si>
    <t>IPC through aortic transducer</t>
  </si>
  <si>
    <t>Enabled</t>
  </si>
  <si>
    <t>InvasivePressureModule</t>
  </si>
  <si>
    <t>pressure WaveformAnalysis</t>
  </si>
  <si>
    <t>PressureWaveFormSignal</t>
  </si>
  <si>
    <t>Peak detection and averaging</t>
  </si>
  <si>
    <t>Running</t>
  </si>
  <si>
    <t>Pressire waveform</t>
  </si>
  <si>
    <t>Good</t>
  </si>
  <si>
    <t>PressureTransducer</t>
  </si>
  <si>
    <t>PressureWaveformAnalysis</t>
  </si>
  <si>
    <t>Active</t>
  </si>
  <si>
    <t>&lt;MDC&gt;</t>
  </si>
  <si>
    <t>InvasivePressureInterface</t>
  </si>
  <si>
    <t>Invasive Pressure interface</t>
  </si>
  <si>
    <t>PhilipsMonitor</t>
  </si>
  <si>
    <t>PressureChannel</t>
  </si>
  <si>
    <t>&lt;MP70&gt;</t>
  </si>
  <si>
    <t>High / extremely high</t>
  </si>
  <si>
    <t>Sensor.hasState</t>
  </si>
  <si>
    <t>disconnected</t>
  </si>
  <si>
    <t>EXAMPLE</t>
  </si>
  <si>
    <t>Metric.derivedByMeasurementProcess</t>
  </si>
  <si>
    <t>Signal.inputToMeasurementProcess</t>
  </si>
  <si>
    <t>FunctionalUnit.hasState</t>
  </si>
  <si>
    <t>Disconnected / empty</t>
  </si>
  <si>
    <t>Systemic pressure</t>
  </si>
  <si>
    <t>AorticPressure_Metric</t>
  </si>
  <si>
    <t>Unknown</t>
  </si>
  <si>
    <t>InvasivePressureTransducer</t>
  </si>
  <si>
    <t>Aortic pressure</t>
  </si>
  <si>
    <t>Mean</t>
  </si>
  <si>
    <t>PressureWaveform</t>
  </si>
  <si>
    <t>OutsideViableRange</t>
  </si>
  <si>
    <t>Low</t>
  </si>
  <si>
    <t>left</t>
  </si>
  <si>
    <t>SpO2_metric</t>
  </si>
  <si>
    <t>PulseOximetryModule</t>
  </si>
  <si>
    <t>PulseOximeter_Sensor</t>
  </si>
  <si>
    <t>SpO2_analysis</t>
  </si>
  <si>
    <t>Waveform / discontinuous</t>
  </si>
  <si>
    <t>Signal.hasSampling</t>
  </si>
  <si>
    <t>PPG_Signal</t>
  </si>
  <si>
    <t>Waveform</t>
  </si>
  <si>
    <t>postDuctal</t>
  </si>
  <si>
    <t>preDuctal</t>
  </si>
  <si>
    <t>right</t>
  </si>
  <si>
    <t>Respiratory Rate</t>
  </si>
  <si>
    <t>Airway_RespiratoryRate_Metric</t>
  </si>
  <si>
    <t>CO2Waveform</t>
  </si>
  <si>
    <t>RF_CO2_WaveformAnalysis</t>
  </si>
  <si>
    <t>Capno_Sensor</t>
  </si>
  <si>
    <t>Capno_Module</t>
  </si>
  <si>
    <t>Airway</t>
  </si>
  <si>
    <t>CPP_Channel</t>
  </si>
  <si>
    <t>CPP_Computation</t>
  </si>
  <si>
    <t>MAP_Metric; ICP_Metric</t>
  </si>
  <si>
    <t>Computation</t>
  </si>
  <si>
    <t>CerebralPerfusion_Metric</t>
  </si>
  <si>
    <t>Brain</t>
  </si>
  <si>
    <t>CPP_Computation_Algorithm</t>
  </si>
  <si>
    <t>HemodynamicsModule</t>
  </si>
  <si>
    <t>Systemic perfusion</t>
  </si>
  <si>
    <t>CerebralPerfusionPressure</t>
  </si>
  <si>
    <t>VenousReturn</t>
  </si>
  <si>
    <t>CentralVenousPressure_Property</t>
  </si>
  <si>
    <t>CVD_metric</t>
  </si>
  <si>
    <t>UpperVenaCava</t>
  </si>
  <si>
    <t>mean</t>
  </si>
  <si>
    <t>CVP_Channel</t>
  </si>
  <si>
    <t>VenousPressure_process</t>
  </si>
  <si>
    <t>Pressure_Waveform</t>
  </si>
  <si>
    <t>CVP_PressureSensor</t>
  </si>
  <si>
    <t>MeasurementProcess.usesMetric</t>
  </si>
  <si>
    <t>MAP_Metric</t>
  </si>
  <si>
    <t>Pulmonary_Oxygenation</t>
  </si>
  <si>
    <t>PulseOximetry Module</t>
  </si>
  <si>
    <t>Pleth_Waveform_Signal</t>
  </si>
  <si>
    <t>Pleth_Waveform_Analysis</t>
  </si>
  <si>
    <t>SpO2; PulseRate; PFI</t>
  </si>
  <si>
    <t>Channel_SpO2</t>
  </si>
  <si>
    <t>Sensor.hasPhysicalLocation</t>
  </si>
  <si>
    <t>Left</t>
  </si>
  <si>
    <t>post-Ductal</t>
  </si>
  <si>
    <t>pre-Ductal</t>
  </si>
  <si>
    <t>Right</t>
  </si>
  <si>
    <t>DeviceChannel.hasAlarmState</t>
  </si>
  <si>
    <t>DeviceChannel.hasAlarmLimits</t>
  </si>
  <si>
    <t>ECG Module</t>
  </si>
  <si>
    <t>Channel_ST_II</t>
  </si>
  <si>
    <t>Channel_ST_V</t>
  </si>
  <si>
    <t>ECG_Electrical_Analysis</t>
  </si>
  <si>
    <t>MeasurementProcess.derivesMetric</t>
  </si>
  <si>
    <t>Metric_ST_II</t>
  </si>
  <si>
    <t>Metric_ST_V</t>
  </si>
  <si>
    <t>ECG_Waveform_Signal</t>
  </si>
  <si>
    <t>ECG_Electrode I-XII</t>
  </si>
  <si>
    <t>&lt;locations&gt;</t>
  </si>
  <si>
    <t>Ventricular_Repolarisation</t>
  </si>
  <si>
    <t>ST_Deviation_property</t>
  </si>
  <si>
    <t>Metric_T_unknown</t>
  </si>
  <si>
    <t>Core_Temp_Property</t>
  </si>
  <si>
    <t>Skin_Temp_Property</t>
  </si>
  <si>
    <t>Temp_Property</t>
  </si>
  <si>
    <t>Thermoregulation</t>
  </si>
  <si>
    <t>Channel_T_Unknown</t>
  </si>
  <si>
    <t>Channel_T_Skin</t>
  </si>
  <si>
    <t>Metric_T_Skin</t>
  </si>
  <si>
    <t>Metric_T_Core</t>
  </si>
  <si>
    <t>Channel_T_Core</t>
  </si>
  <si>
    <t>TemperatureMeasurementProcess</t>
  </si>
  <si>
    <t>Signal_ThermalX</t>
  </si>
  <si>
    <t>Signal_Thermal_Skin</t>
  </si>
  <si>
    <t>Signal_Thermal_Core</t>
  </si>
  <si>
    <t>SkinThermometer</t>
  </si>
  <si>
    <t>Thermometer</t>
  </si>
  <si>
    <t>CoreThermometer</t>
  </si>
  <si>
    <t>ThermoSensing Module</t>
  </si>
  <si>
    <t>PhysiologicalProcess.hasParticipant</t>
  </si>
  <si>
    <t>Metric_Pulsatile_HeartRate</t>
  </si>
  <si>
    <t>Cardiac_Contraction</t>
  </si>
  <si>
    <t>Very low</t>
  </si>
  <si>
    <t>Cardiac_Contractile_Frequency</t>
  </si>
  <si>
    <t>Peripheral</t>
  </si>
  <si>
    <t>Channel_Pulsatile_HR</t>
  </si>
  <si>
    <t>Peripheral_Artery</t>
  </si>
  <si>
    <t>Artefact</t>
  </si>
  <si>
    <t>ABP_Waveform_Analysis</t>
  </si>
  <si>
    <t>ABP_systolic</t>
  </si>
  <si>
    <t>Channel_ABP_Sys</t>
  </si>
  <si>
    <t>Arterial_Pressure</t>
  </si>
  <si>
    <t>ABP_Transducer</t>
  </si>
  <si>
    <t>ABP_Module</t>
  </si>
  <si>
    <t>Arterial_Pressure_Property</t>
  </si>
  <si>
    <t>ArterialPressureRegulation</t>
  </si>
  <si>
    <t>Heart;Vasculature</t>
  </si>
  <si>
    <t>Diastolic</t>
  </si>
  <si>
    <t>Cardiac_Electric_Frequency</t>
  </si>
  <si>
    <t>Thoracic</t>
  </si>
  <si>
    <t>Asystoly</t>
  </si>
  <si>
    <t>Channel_ECG_HeartRate</t>
  </si>
  <si>
    <t>Metric_ECG_HeartRate</t>
  </si>
  <si>
    <t>ECG_Waveform</t>
  </si>
  <si>
    <t>ECG_Leads</t>
  </si>
  <si>
    <t>Ventricular_Rhythm</t>
  </si>
  <si>
    <t>Metric_ECG_Ventricular_Rhythm</t>
  </si>
  <si>
    <t>Channel_ECG_Rhythm</t>
  </si>
  <si>
    <t>Fibrillation/Tachy</t>
  </si>
  <si>
    <t>Rect_Temp_Property</t>
  </si>
  <si>
    <t>Metric_T_Rect</t>
  </si>
  <si>
    <t>Rectal</t>
  </si>
  <si>
    <t>PFI</t>
  </si>
  <si>
    <t>Perfusion_Index_metric</t>
  </si>
  <si>
    <t>Tissue_Perfusion</t>
  </si>
  <si>
    <t>Channel_PFI</t>
  </si>
  <si>
    <t>Cardiovascular;Integumentary</t>
  </si>
  <si>
    <t>Skin;Vasculature</t>
  </si>
  <si>
    <t>Mechanical_Ventilation</t>
  </si>
  <si>
    <t>Pulmonary_Ventilation</t>
  </si>
  <si>
    <t>Terminal_Airway</t>
  </si>
  <si>
    <t>Capnogram_Signal</t>
  </si>
  <si>
    <t>Channel_EtCO2</t>
  </si>
  <si>
    <t>Metric_EtCO2</t>
  </si>
  <si>
    <t>Capnogram_MeasurementProcess</t>
  </si>
  <si>
    <t>ServoU</t>
  </si>
  <si>
    <t>Battery_Module</t>
  </si>
  <si>
    <t>Trilogy</t>
  </si>
  <si>
    <t>PEEP_Module</t>
  </si>
  <si>
    <t>VT_Module</t>
  </si>
  <si>
    <t>Channel_PEEP</t>
  </si>
  <si>
    <t>Metric_PEEP</t>
  </si>
  <si>
    <t>AirwayPressure_Signal</t>
  </si>
  <si>
    <t>VentilationMeasurementProcess</t>
  </si>
  <si>
    <t>AlveolarEndExpiratoryPressureProperty</t>
  </si>
  <si>
    <t>AlveolarVentilationVolumeProperty</t>
  </si>
  <si>
    <t>Expiratory</t>
  </si>
  <si>
    <t>Channel_Vte</t>
  </si>
  <si>
    <t>Metric_RespiratoryRate</t>
  </si>
  <si>
    <t>Metric_TidalVolumeExpiratory</t>
  </si>
  <si>
    <t>AirwayPressure_Transducer</t>
  </si>
  <si>
    <t>PrismaFlex</t>
  </si>
  <si>
    <t>Malfunction</t>
  </si>
  <si>
    <t>Operating_System</t>
  </si>
  <si>
    <t>Connection</t>
  </si>
  <si>
    <t>Disconnected</t>
  </si>
  <si>
    <t>DatexOhmedacom</t>
  </si>
  <si>
    <t>Kidney</t>
  </si>
  <si>
    <t>ReplacementTherapy</t>
  </si>
  <si>
    <t>Renal</t>
  </si>
  <si>
    <t>Channel_RespiratoryRate</t>
  </si>
  <si>
    <t>Apneu</t>
  </si>
  <si>
    <t>Channel_Plimit</t>
  </si>
  <si>
    <t>Metric_Plimit</t>
  </si>
  <si>
    <t>Metric_Ppeak</t>
  </si>
  <si>
    <t>Channel_Ppeak</t>
  </si>
  <si>
    <t>PulmonaryVentilationRateProperty</t>
  </si>
  <si>
    <t>IntraAlveolarPressureProperty</t>
  </si>
  <si>
    <t>PeakAlveolarPressureProperty</t>
  </si>
  <si>
    <t>Ventilation_Flow_Signal</t>
  </si>
  <si>
    <t>Ventilation_Module</t>
  </si>
  <si>
    <t>Connection_Module</t>
  </si>
  <si>
    <t>CVD_Module</t>
  </si>
  <si>
    <t>CVD_Transducer</t>
  </si>
  <si>
    <t>CVD_Signal</t>
  </si>
  <si>
    <t>CentralVenousPressureProperty</t>
  </si>
  <si>
    <t>CVD_Waveform_analysis</t>
  </si>
  <si>
    <t>Metric_CVD</t>
  </si>
  <si>
    <t>VenousPressureRegulation</t>
  </si>
  <si>
    <t>CVD_Channel</t>
  </si>
  <si>
    <t>Nulling error</t>
  </si>
  <si>
    <t>Metric out of valid Range</t>
  </si>
  <si>
    <t>Concept name / attribute</t>
  </si>
  <si>
    <t>Refers to other concept</t>
  </si>
  <si>
    <t xml:space="preserve">Example </t>
  </si>
  <si>
    <t>Patient_X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</si>
</sst>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rgb="FFFF0000"/>
      <name val="Aptos Narrow"/>
      <scheme val="minor"/>
    </font>
    <font>
      <sz val="12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0" borderId="0" xfId="0" applyAlignment="1">
      <alignment textRotation="135"/>
    </xf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6" fillId="0" borderId="0" xfId="0" applyFont="1"/>
    <xf numFmtId="0" fontId="0" fillId="5" borderId="0" xfId="0" applyFill="1"/>
    <xf numFmtId="0" fontId="0" fillId="3" borderId="5" xfId="0" applyFill="1" applyBorder="1"/>
    <xf numFmtId="0" fontId="0" fillId="2" borderId="6" xfId="0" applyFill="1" applyBorder="1"/>
    <xf numFmtId="0" fontId="0" fillId="3" borderId="6" xfId="0" applyFill="1" applyBorder="1"/>
    <xf numFmtId="0" fontId="0" fillId="0" borderId="6" xfId="0" applyBorder="1"/>
    <xf numFmtId="0" fontId="0" fillId="5" borderId="6" xfId="0" applyFill="1" applyBorder="1"/>
    <xf numFmtId="0" fontId="0" fillId="4" borderId="6" xfId="0" applyFill="1" applyBorder="1"/>
    <xf numFmtId="0" fontId="0" fillId="2" borderId="7" xfId="0" applyFill="1" applyBorder="1"/>
    <xf numFmtId="0" fontId="6" fillId="4" borderId="0" xfId="0" applyFont="1" applyFill="1"/>
    <xf numFmtId="0" fontId="7" fillId="4" borderId="6" xfId="0" applyFont="1" applyFill="1" applyBorder="1"/>
    <xf numFmtId="0" fontId="7" fillId="4" borderId="0" xfId="0" applyFont="1" applyFill="1"/>
    <xf numFmtId="0" fontId="0" fillId="0" borderId="0" xfId="0" applyAlignment="1">
      <alignment horizontal="left" textRotation="125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textRotation="135" wrapText="1"/>
    </xf>
    <xf numFmtId="0" fontId="0" fillId="6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7254-853C-7A45-8615-91F6D89E435D}">
  <dimension ref="A1:AF467"/>
  <sheetViews>
    <sheetView tabSelected="1" topLeftCell="A138" zoomScale="322" zoomScaleNormal="90" workbookViewId="0">
      <selection activeCell="B142" sqref="B142"/>
    </sheetView>
  </sheetViews>
  <sheetFormatPr baseColWidth="10" defaultRowHeight="16" x14ac:dyDescent="0.2"/>
  <cols>
    <col min="2" max="2" width="57.5" customWidth="1"/>
    <col min="3" max="4" width="0" hidden="1" customWidth="1"/>
    <col min="5" max="5" width="5.6640625" hidden="1" customWidth="1"/>
    <col min="6" max="12" width="0.1640625" hidden="1" customWidth="1"/>
    <col min="13" max="13" width="21.6640625" customWidth="1"/>
    <col min="14" max="14" width="22.5" customWidth="1"/>
    <col min="15" max="15" width="24.1640625" customWidth="1"/>
    <col min="16" max="16" width="31" customWidth="1"/>
    <col min="17" max="17" width="32" customWidth="1"/>
    <col min="18" max="18" width="29.83203125" customWidth="1"/>
    <col min="19" max="19" width="2.5" customWidth="1"/>
    <col min="20" max="20" width="21.5" customWidth="1"/>
    <col min="21" max="23" width="15.1640625" customWidth="1"/>
    <col min="24" max="24" width="18.5" customWidth="1"/>
    <col min="25" max="27" width="15.1640625" customWidth="1"/>
  </cols>
  <sheetData>
    <row r="1" spans="1:32" ht="22" x14ac:dyDescent="0.3">
      <c r="N1" s="25" t="s">
        <v>571</v>
      </c>
      <c r="O1" s="26"/>
      <c r="P1" s="26"/>
      <c r="Q1" s="26"/>
      <c r="R1" s="26"/>
      <c r="S1" s="27"/>
      <c r="T1" s="25" t="s">
        <v>572</v>
      </c>
      <c r="U1" s="26"/>
      <c r="V1" s="26"/>
      <c r="W1" s="26"/>
      <c r="X1" s="26"/>
      <c r="Y1" s="26"/>
      <c r="Z1" s="26"/>
      <c r="AA1" s="27"/>
    </row>
    <row r="2" spans="1:32" x14ac:dyDescent="0.2">
      <c r="A2" t="s">
        <v>559</v>
      </c>
      <c r="B2" t="s">
        <v>560</v>
      </c>
      <c r="C2" t="s">
        <v>561</v>
      </c>
      <c r="D2" t="s">
        <v>562</v>
      </c>
      <c r="E2" t="s">
        <v>563</v>
      </c>
      <c r="F2" t="s">
        <v>564</v>
      </c>
      <c r="G2" t="s">
        <v>565</v>
      </c>
      <c r="H2" t="s">
        <v>566</v>
      </c>
      <c r="I2" t="s">
        <v>567</v>
      </c>
      <c r="J2" t="s">
        <v>568</v>
      </c>
      <c r="K2" t="s">
        <v>569</v>
      </c>
      <c r="L2" t="s">
        <v>570</v>
      </c>
      <c r="N2" s="2" t="s">
        <v>573</v>
      </c>
      <c r="O2" s="1" t="s">
        <v>574</v>
      </c>
      <c r="P2" s="1" t="s">
        <v>570</v>
      </c>
      <c r="Q2" s="1" t="s">
        <v>575</v>
      </c>
      <c r="R2" s="1" t="s">
        <v>576</v>
      </c>
      <c r="S2" s="1"/>
      <c r="T2" s="1" t="s">
        <v>577</v>
      </c>
      <c r="U2" s="1" t="s">
        <v>580</v>
      </c>
      <c r="V2" s="1" t="s">
        <v>582</v>
      </c>
      <c r="W2" s="1" t="s">
        <v>583</v>
      </c>
      <c r="X2" s="2" t="s">
        <v>578</v>
      </c>
      <c r="Y2" s="2" t="s">
        <v>579</v>
      </c>
      <c r="Z2" s="2" t="s">
        <v>581</v>
      </c>
      <c r="AA2" s="2" t="s">
        <v>584</v>
      </c>
    </row>
    <row r="3" spans="1:32" x14ac:dyDescent="0.2">
      <c r="A3">
        <v>1</v>
      </c>
      <c r="B3" t="s">
        <v>0</v>
      </c>
      <c r="C3" t="s">
        <v>1</v>
      </c>
      <c r="D3" t="s">
        <v>2</v>
      </c>
      <c r="E3" t="s">
        <v>2</v>
      </c>
      <c r="F3" t="s">
        <v>1</v>
      </c>
      <c r="G3" t="s">
        <v>3</v>
      </c>
      <c r="H3" t="s">
        <v>4</v>
      </c>
      <c r="I3" t="s">
        <v>5</v>
      </c>
      <c r="J3" t="s">
        <v>6</v>
      </c>
      <c r="K3" t="s">
        <v>1</v>
      </c>
      <c r="L3" t="s">
        <v>3</v>
      </c>
      <c r="T3" t="s">
        <v>602</v>
      </c>
      <c r="V3" t="s">
        <v>618</v>
      </c>
      <c r="W3" t="s">
        <v>613</v>
      </c>
      <c r="X3" t="s">
        <v>603</v>
      </c>
      <c r="Z3" t="s">
        <v>625</v>
      </c>
      <c r="AC3" s="4" t="s">
        <v>585</v>
      </c>
      <c r="AD3" s="4" t="s">
        <v>588</v>
      </c>
      <c r="AE3" s="4" t="s">
        <v>594</v>
      </c>
      <c r="AF3" s="4" t="s">
        <v>593</v>
      </c>
    </row>
    <row r="4" spans="1:32" x14ac:dyDescent="0.2">
      <c r="A4">
        <v>2</v>
      </c>
      <c r="B4" t="s">
        <v>7</v>
      </c>
      <c r="C4" t="s">
        <v>8</v>
      </c>
      <c r="D4" t="s">
        <v>9</v>
      </c>
      <c r="E4" t="s">
        <v>9</v>
      </c>
      <c r="F4" t="s">
        <v>10</v>
      </c>
      <c r="G4" t="s">
        <v>3</v>
      </c>
      <c r="H4" t="s">
        <v>4</v>
      </c>
      <c r="I4" t="s">
        <v>11</v>
      </c>
      <c r="J4" t="s">
        <v>6</v>
      </c>
      <c r="K4" t="s">
        <v>12</v>
      </c>
      <c r="L4" t="s">
        <v>13</v>
      </c>
      <c r="T4" t="s">
        <v>11</v>
      </c>
      <c r="V4" t="s">
        <v>619</v>
      </c>
      <c r="W4" t="s">
        <v>614</v>
      </c>
      <c r="X4" t="s">
        <v>604</v>
      </c>
      <c r="Z4" t="s">
        <v>626</v>
      </c>
      <c r="AC4" t="s">
        <v>12</v>
      </c>
      <c r="AD4" t="s">
        <v>589</v>
      </c>
      <c r="AE4" t="s">
        <v>595</v>
      </c>
      <c r="AF4" t="s">
        <v>596</v>
      </c>
    </row>
    <row r="5" spans="1:32" x14ac:dyDescent="0.2">
      <c r="A5">
        <v>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3</v>
      </c>
      <c r="H5" t="s">
        <v>4</v>
      </c>
      <c r="I5" t="s">
        <v>11</v>
      </c>
      <c r="J5" t="s">
        <v>19</v>
      </c>
      <c r="K5" t="s">
        <v>12</v>
      </c>
      <c r="L5" t="s">
        <v>13</v>
      </c>
      <c r="V5" t="s">
        <v>620</v>
      </c>
      <c r="W5" t="s">
        <v>615</v>
      </c>
      <c r="X5" t="s">
        <v>605</v>
      </c>
      <c r="Z5" t="s">
        <v>627</v>
      </c>
      <c r="AC5" t="s">
        <v>586</v>
      </c>
      <c r="AD5" t="s">
        <v>590</v>
      </c>
      <c r="AE5" t="s">
        <v>598</v>
      </c>
    </row>
    <row r="6" spans="1:32" x14ac:dyDescent="0.2">
      <c r="A6">
        <v>4</v>
      </c>
      <c r="B6" t="s">
        <v>20</v>
      </c>
      <c r="C6" t="s">
        <v>8</v>
      </c>
      <c r="D6" t="s">
        <v>9</v>
      </c>
      <c r="E6" t="s">
        <v>9</v>
      </c>
      <c r="F6" t="s">
        <v>1</v>
      </c>
      <c r="G6" t="s">
        <v>3</v>
      </c>
      <c r="H6" t="s">
        <v>4</v>
      </c>
      <c r="I6" t="s">
        <v>11</v>
      </c>
      <c r="J6" t="s">
        <v>6</v>
      </c>
      <c r="K6" t="s">
        <v>12</v>
      </c>
      <c r="L6" t="s">
        <v>3</v>
      </c>
      <c r="V6" t="s">
        <v>621</v>
      </c>
      <c r="W6" t="s">
        <v>616</v>
      </c>
      <c r="X6" t="s">
        <v>606</v>
      </c>
      <c r="Z6" t="s">
        <v>628</v>
      </c>
      <c r="AC6" t="s">
        <v>587</v>
      </c>
      <c r="AD6" t="s">
        <v>591</v>
      </c>
    </row>
    <row r="7" spans="1:32" x14ac:dyDescent="0.2">
      <c r="A7">
        <v>5</v>
      </c>
      <c r="B7" t="s">
        <v>21</v>
      </c>
      <c r="C7" t="s">
        <v>8</v>
      </c>
      <c r="D7" t="s">
        <v>9</v>
      </c>
      <c r="E7" t="s">
        <v>9</v>
      </c>
      <c r="F7" t="s">
        <v>1</v>
      </c>
      <c r="G7" t="s">
        <v>3</v>
      </c>
      <c r="H7" t="s">
        <v>4</v>
      </c>
      <c r="I7" t="s">
        <v>11</v>
      </c>
      <c r="J7" t="s">
        <v>6</v>
      </c>
      <c r="K7" t="s">
        <v>12</v>
      </c>
      <c r="L7" t="s">
        <v>3</v>
      </c>
      <c r="V7" t="s">
        <v>622</v>
      </c>
      <c r="W7" t="s">
        <v>617</v>
      </c>
      <c r="X7" t="s">
        <v>607</v>
      </c>
      <c r="Z7" t="s">
        <v>629</v>
      </c>
    </row>
    <row r="8" spans="1:32" x14ac:dyDescent="0.2">
      <c r="A8">
        <v>6</v>
      </c>
      <c r="B8" t="s">
        <v>22</v>
      </c>
      <c r="C8" t="s">
        <v>23</v>
      </c>
      <c r="D8" t="s">
        <v>24</v>
      </c>
      <c r="E8" t="s">
        <v>25</v>
      </c>
      <c r="F8" t="s">
        <v>23</v>
      </c>
      <c r="G8" t="s">
        <v>3</v>
      </c>
      <c r="H8" t="s">
        <v>4</v>
      </c>
      <c r="I8" t="s">
        <v>11</v>
      </c>
      <c r="J8" t="s">
        <v>19</v>
      </c>
      <c r="K8" t="s">
        <v>12</v>
      </c>
      <c r="L8" t="s">
        <v>13</v>
      </c>
      <c r="V8" t="s">
        <v>623</v>
      </c>
      <c r="X8" t="s">
        <v>608</v>
      </c>
      <c r="Z8" t="s">
        <v>630</v>
      </c>
      <c r="AF8" t="s">
        <v>597</v>
      </c>
    </row>
    <row r="9" spans="1:32" x14ac:dyDescent="0.2">
      <c r="A9">
        <v>7</v>
      </c>
      <c r="B9" t="s">
        <v>26</v>
      </c>
      <c r="C9" t="s">
        <v>27</v>
      </c>
      <c r="D9" t="s">
        <v>28</v>
      </c>
      <c r="E9" t="s">
        <v>29</v>
      </c>
      <c r="F9" t="s">
        <v>1</v>
      </c>
      <c r="G9" t="s">
        <v>3</v>
      </c>
      <c r="H9" t="s">
        <v>4</v>
      </c>
      <c r="I9" t="s">
        <v>11</v>
      </c>
      <c r="J9" t="s">
        <v>6</v>
      </c>
      <c r="K9" t="s">
        <v>12</v>
      </c>
      <c r="L9" t="s">
        <v>3</v>
      </c>
      <c r="V9" t="s">
        <v>624</v>
      </c>
      <c r="X9" t="s">
        <v>609</v>
      </c>
      <c r="Z9" t="s">
        <v>631</v>
      </c>
      <c r="AD9" t="s">
        <v>589</v>
      </c>
      <c r="AE9" t="s">
        <v>599</v>
      </c>
      <c r="AF9" t="s">
        <v>600</v>
      </c>
    </row>
    <row r="10" spans="1:32" x14ac:dyDescent="0.2">
      <c r="A10">
        <v>8</v>
      </c>
      <c r="B10" t="s">
        <v>30</v>
      </c>
      <c r="C10" t="s">
        <v>8</v>
      </c>
      <c r="D10" t="s">
        <v>9</v>
      </c>
      <c r="E10" t="s">
        <v>9</v>
      </c>
      <c r="F10" t="s">
        <v>1</v>
      </c>
      <c r="G10" t="s">
        <v>3</v>
      </c>
      <c r="H10" t="s">
        <v>4</v>
      </c>
      <c r="I10" t="s">
        <v>11</v>
      </c>
      <c r="J10" t="s">
        <v>6</v>
      </c>
      <c r="K10" t="s">
        <v>12</v>
      </c>
      <c r="L10" t="s">
        <v>3</v>
      </c>
      <c r="X10" t="s">
        <v>610</v>
      </c>
      <c r="Z10" t="s">
        <v>632</v>
      </c>
    </row>
    <row r="11" spans="1:32" x14ac:dyDescent="0.2">
      <c r="A11">
        <v>9</v>
      </c>
      <c r="B11" t="s">
        <v>31</v>
      </c>
      <c r="C11" t="s">
        <v>8</v>
      </c>
      <c r="D11" t="s">
        <v>9</v>
      </c>
      <c r="E11" t="s">
        <v>9</v>
      </c>
      <c r="F11" t="s">
        <v>32</v>
      </c>
      <c r="G11" t="s">
        <v>3</v>
      </c>
      <c r="H11" t="s">
        <v>4</v>
      </c>
      <c r="I11" t="s">
        <v>11</v>
      </c>
      <c r="J11" t="s">
        <v>6</v>
      </c>
      <c r="K11" t="s">
        <v>12</v>
      </c>
      <c r="L11" t="s">
        <v>3</v>
      </c>
      <c r="X11" t="s">
        <v>611</v>
      </c>
      <c r="Z11" t="s">
        <v>633</v>
      </c>
    </row>
    <row r="12" spans="1:32" x14ac:dyDescent="0.2">
      <c r="A12">
        <v>10</v>
      </c>
      <c r="B12" t="s">
        <v>33</v>
      </c>
      <c r="C12" t="s">
        <v>8</v>
      </c>
      <c r="D12" t="s">
        <v>9</v>
      </c>
      <c r="E12" t="s">
        <v>9</v>
      </c>
      <c r="F12" t="s">
        <v>1</v>
      </c>
      <c r="G12" t="s">
        <v>3</v>
      </c>
      <c r="H12" t="s">
        <v>4</v>
      </c>
      <c r="I12" t="s">
        <v>11</v>
      </c>
      <c r="J12" t="s">
        <v>6</v>
      </c>
      <c r="K12" t="s">
        <v>12</v>
      </c>
      <c r="L12" t="s">
        <v>3</v>
      </c>
      <c r="X12" t="s">
        <v>612</v>
      </c>
    </row>
    <row r="13" spans="1:32" x14ac:dyDescent="0.2">
      <c r="A13">
        <v>11</v>
      </c>
      <c r="B13" t="s">
        <v>34</v>
      </c>
      <c r="C13" t="s">
        <v>8</v>
      </c>
      <c r="D13" t="s">
        <v>9</v>
      </c>
      <c r="E13" t="s">
        <v>9</v>
      </c>
      <c r="F13" t="s">
        <v>32</v>
      </c>
      <c r="G13" t="s">
        <v>3</v>
      </c>
      <c r="H13" t="s">
        <v>4</v>
      </c>
      <c r="I13" t="s">
        <v>11</v>
      </c>
      <c r="J13" t="s">
        <v>6</v>
      </c>
      <c r="K13" t="s">
        <v>12</v>
      </c>
      <c r="L13" t="s">
        <v>3</v>
      </c>
    </row>
    <row r="14" spans="1:32" x14ac:dyDescent="0.2">
      <c r="A14">
        <v>12</v>
      </c>
      <c r="B14" t="s">
        <v>35</v>
      </c>
      <c r="C14" t="s">
        <v>8</v>
      </c>
      <c r="D14" t="s">
        <v>9</v>
      </c>
      <c r="E14" t="s">
        <v>9</v>
      </c>
      <c r="F14" t="s">
        <v>1</v>
      </c>
      <c r="G14" t="s">
        <v>3</v>
      </c>
      <c r="H14" t="s">
        <v>4</v>
      </c>
      <c r="I14" t="s">
        <v>11</v>
      </c>
      <c r="J14" t="s">
        <v>6</v>
      </c>
      <c r="K14" t="s">
        <v>12</v>
      </c>
      <c r="L14" t="s">
        <v>3</v>
      </c>
    </row>
    <row r="15" spans="1:32" x14ac:dyDescent="0.2">
      <c r="A15">
        <v>13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3</v>
      </c>
      <c r="H15" t="s">
        <v>4</v>
      </c>
      <c r="I15" t="s">
        <v>11</v>
      </c>
      <c r="J15" t="s">
        <v>19</v>
      </c>
      <c r="K15" t="s">
        <v>12</v>
      </c>
      <c r="L15" t="s">
        <v>13</v>
      </c>
    </row>
    <row r="16" spans="1:32" x14ac:dyDescent="0.2">
      <c r="A16">
        <v>14</v>
      </c>
      <c r="B16" t="s">
        <v>41</v>
      </c>
      <c r="C16" t="s">
        <v>37</v>
      </c>
      <c r="D16" t="s">
        <v>38</v>
      </c>
      <c r="E16" t="s">
        <v>39</v>
      </c>
      <c r="F16" t="s">
        <v>18</v>
      </c>
      <c r="G16" t="s">
        <v>3</v>
      </c>
      <c r="H16" t="s">
        <v>4</v>
      </c>
      <c r="I16" t="s">
        <v>11</v>
      </c>
      <c r="J16" t="s">
        <v>19</v>
      </c>
      <c r="K16" t="s">
        <v>12</v>
      </c>
      <c r="L16" t="s">
        <v>13</v>
      </c>
    </row>
    <row r="17" spans="1:12" x14ac:dyDescent="0.2">
      <c r="A17">
        <v>15</v>
      </c>
      <c r="B17" t="s">
        <v>42</v>
      </c>
      <c r="C17" t="s">
        <v>37</v>
      </c>
      <c r="D17" t="s">
        <v>38</v>
      </c>
      <c r="E17" t="s">
        <v>38</v>
      </c>
      <c r="F17" t="s">
        <v>1</v>
      </c>
      <c r="G17" t="s">
        <v>3</v>
      </c>
      <c r="H17" t="s">
        <v>4</v>
      </c>
      <c r="I17" t="s">
        <v>11</v>
      </c>
      <c r="J17" t="s">
        <v>6</v>
      </c>
      <c r="K17" t="s">
        <v>12</v>
      </c>
      <c r="L17" t="s">
        <v>3</v>
      </c>
    </row>
    <row r="18" spans="1:12" x14ac:dyDescent="0.2">
      <c r="A18">
        <v>16</v>
      </c>
      <c r="B18" t="s">
        <v>43</v>
      </c>
      <c r="C18" t="s">
        <v>8</v>
      </c>
      <c r="D18" t="s">
        <v>9</v>
      </c>
      <c r="E18" t="s">
        <v>9</v>
      </c>
      <c r="F18" t="s">
        <v>32</v>
      </c>
      <c r="G18" t="s">
        <v>3</v>
      </c>
      <c r="H18" t="s">
        <v>4</v>
      </c>
      <c r="I18" t="s">
        <v>11</v>
      </c>
      <c r="J18" t="s">
        <v>6</v>
      </c>
      <c r="K18" t="s">
        <v>12</v>
      </c>
      <c r="L18" t="s">
        <v>3</v>
      </c>
    </row>
    <row r="19" spans="1:12" x14ac:dyDescent="0.2">
      <c r="A19">
        <v>17</v>
      </c>
      <c r="B19" t="s">
        <v>44</v>
      </c>
      <c r="C19" t="s">
        <v>8</v>
      </c>
      <c r="D19" t="s">
        <v>9</v>
      </c>
      <c r="E19" t="s">
        <v>9</v>
      </c>
      <c r="F19" t="s">
        <v>32</v>
      </c>
      <c r="G19" t="s">
        <v>3</v>
      </c>
      <c r="H19" t="s">
        <v>4</v>
      </c>
      <c r="I19" t="s">
        <v>11</v>
      </c>
      <c r="J19" t="s">
        <v>6</v>
      </c>
      <c r="K19" t="s">
        <v>12</v>
      </c>
      <c r="L19" t="s">
        <v>3</v>
      </c>
    </row>
    <row r="20" spans="1:12" x14ac:dyDescent="0.2">
      <c r="A20">
        <v>18</v>
      </c>
      <c r="B20" t="s">
        <v>45</v>
      </c>
      <c r="C20" t="s">
        <v>8</v>
      </c>
      <c r="D20" t="s">
        <v>9</v>
      </c>
      <c r="E20" t="s">
        <v>9</v>
      </c>
      <c r="F20" t="s">
        <v>32</v>
      </c>
      <c r="G20" t="s">
        <v>3</v>
      </c>
      <c r="H20" t="s">
        <v>4</v>
      </c>
      <c r="I20" t="s">
        <v>11</v>
      </c>
      <c r="J20" t="s">
        <v>6</v>
      </c>
      <c r="K20" t="s">
        <v>12</v>
      </c>
      <c r="L20" t="s">
        <v>3</v>
      </c>
    </row>
    <row r="21" spans="1:12" x14ac:dyDescent="0.2">
      <c r="A21">
        <v>19</v>
      </c>
      <c r="B21" t="s">
        <v>46</v>
      </c>
      <c r="C21" t="s">
        <v>8</v>
      </c>
      <c r="D21" t="s">
        <v>9</v>
      </c>
      <c r="E21" t="s">
        <v>9</v>
      </c>
      <c r="F21" t="s">
        <v>32</v>
      </c>
      <c r="G21" t="s">
        <v>3</v>
      </c>
      <c r="H21" t="s">
        <v>4</v>
      </c>
      <c r="I21" t="s">
        <v>11</v>
      </c>
      <c r="J21" t="s">
        <v>6</v>
      </c>
      <c r="K21" t="s">
        <v>12</v>
      </c>
      <c r="L21" t="s">
        <v>3</v>
      </c>
    </row>
    <row r="22" spans="1:12" x14ac:dyDescent="0.2">
      <c r="A22">
        <v>20</v>
      </c>
      <c r="B22" t="s">
        <v>47</v>
      </c>
      <c r="C22" t="s">
        <v>8</v>
      </c>
      <c r="D22" t="s">
        <v>9</v>
      </c>
      <c r="E22" t="s">
        <v>9</v>
      </c>
      <c r="F22" t="s">
        <v>10</v>
      </c>
      <c r="G22" t="s">
        <v>3</v>
      </c>
      <c r="H22" t="s">
        <v>4</v>
      </c>
      <c r="I22" t="s">
        <v>11</v>
      </c>
      <c r="J22" t="s">
        <v>6</v>
      </c>
      <c r="K22" t="s">
        <v>12</v>
      </c>
      <c r="L22" t="s">
        <v>3</v>
      </c>
    </row>
    <row r="23" spans="1:12" x14ac:dyDescent="0.2">
      <c r="A23">
        <v>21</v>
      </c>
      <c r="B23" t="s">
        <v>48</v>
      </c>
      <c r="C23" t="s">
        <v>8</v>
      </c>
      <c r="D23" t="s">
        <v>9</v>
      </c>
      <c r="E23" t="s">
        <v>9</v>
      </c>
      <c r="F23" t="s">
        <v>32</v>
      </c>
      <c r="G23" t="s">
        <v>3</v>
      </c>
      <c r="H23" t="s">
        <v>4</v>
      </c>
      <c r="I23" t="s">
        <v>11</v>
      </c>
      <c r="J23" t="s">
        <v>6</v>
      </c>
      <c r="K23" t="s">
        <v>12</v>
      </c>
      <c r="L23" t="s">
        <v>3</v>
      </c>
    </row>
    <row r="24" spans="1:12" x14ac:dyDescent="0.2">
      <c r="A24">
        <v>22</v>
      </c>
      <c r="B24" t="s">
        <v>49</v>
      </c>
      <c r="C24" t="s">
        <v>8</v>
      </c>
      <c r="D24" t="s">
        <v>9</v>
      </c>
      <c r="E24" t="s">
        <v>9</v>
      </c>
      <c r="F24" t="s">
        <v>10</v>
      </c>
      <c r="G24" t="s">
        <v>3</v>
      </c>
      <c r="H24" t="s">
        <v>4</v>
      </c>
      <c r="I24" t="s">
        <v>11</v>
      </c>
      <c r="J24" t="s">
        <v>6</v>
      </c>
      <c r="K24" t="s">
        <v>12</v>
      </c>
      <c r="L24" t="s">
        <v>3</v>
      </c>
    </row>
    <row r="25" spans="1:12" x14ac:dyDescent="0.2">
      <c r="A25">
        <v>23</v>
      </c>
      <c r="B25" t="s">
        <v>50</v>
      </c>
      <c r="C25" t="s">
        <v>8</v>
      </c>
      <c r="D25" t="s">
        <v>9</v>
      </c>
      <c r="E25" t="s">
        <v>9</v>
      </c>
      <c r="F25" t="s">
        <v>1</v>
      </c>
      <c r="G25" t="s">
        <v>3</v>
      </c>
      <c r="H25" t="s">
        <v>4</v>
      </c>
      <c r="I25" t="s">
        <v>11</v>
      </c>
      <c r="J25" t="s">
        <v>6</v>
      </c>
      <c r="K25" t="s">
        <v>12</v>
      </c>
      <c r="L25" t="s">
        <v>3</v>
      </c>
    </row>
    <row r="26" spans="1:12" x14ac:dyDescent="0.2">
      <c r="A26">
        <v>26</v>
      </c>
      <c r="B26" t="s">
        <v>51</v>
      </c>
      <c r="C26" t="s">
        <v>8</v>
      </c>
      <c r="D26" t="s">
        <v>9</v>
      </c>
      <c r="E26" t="s">
        <v>9</v>
      </c>
      <c r="F26" t="s">
        <v>1</v>
      </c>
      <c r="G26" t="s">
        <v>3</v>
      </c>
      <c r="H26" t="s">
        <v>4</v>
      </c>
      <c r="I26" t="s">
        <v>11</v>
      </c>
      <c r="J26" t="s">
        <v>6</v>
      </c>
      <c r="K26" t="s">
        <v>12</v>
      </c>
      <c r="L26" t="s">
        <v>3</v>
      </c>
    </row>
    <row r="27" spans="1:12" x14ac:dyDescent="0.2">
      <c r="A27">
        <v>27</v>
      </c>
      <c r="B27" t="s">
        <v>52</v>
      </c>
      <c r="C27" t="s">
        <v>27</v>
      </c>
      <c r="D27" t="s">
        <v>28</v>
      </c>
      <c r="E27" t="s">
        <v>29</v>
      </c>
      <c r="F27" t="s">
        <v>1</v>
      </c>
      <c r="G27" t="s">
        <v>3</v>
      </c>
      <c r="H27" t="s">
        <v>4</v>
      </c>
      <c r="I27" t="s">
        <v>11</v>
      </c>
      <c r="J27" t="s">
        <v>6</v>
      </c>
      <c r="K27" t="s">
        <v>12</v>
      </c>
      <c r="L27" t="s">
        <v>3</v>
      </c>
    </row>
    <row r="28" spans="1:12" x14ac:dyDescent="0.2">
      <c r="A28">
        <v>28</v>
      </c>
      <c r="B28" t="s">
        <v>53</v>
      </c>
      <c r="C28" t="s">
        <v>54</v>
      </c>
      <c r="D28" t="s">
        <v>55</v>
      </c>
      <c r="E28" t="s">
        <v>56</v>
      </c>
      <c r="F28" t="s">
        <v>57</v>
      </c>
      <c r="G28" t="s">
        <v>3</v>
      </c>
      <c r="H28" t="s">
        <v>4</v>
      </c>
      <c r="I28" t="s">
        <v>11</v>
      </c>
      <c r="J28" t="s">
        <v>19</v>
      </c>
      <c r="K28" t="s">
        <v>12</v>
      </c>
      <c r="L28" t="s">
        <v>13</v>
      </c>
    </row>
    <row r="29" spans="1:12" x14ac:dyDescent="0.2">
      <c r="A29">
        <v>24</v>
      </c>
      <c r="B29" t="s">
        <v>58</v>
      </c>
      <c r="C29" t="s">
        <v>59</v>
      </c>
      <c r="D29" t="s">
        <v>60</v>
      </c>
      <c r="E29" t="s">
        <v>61</v>
      </c>
      <c r="F29" t="s">
        <v>40</v>
      </c>
      <c r="G29" t="s">
        <v>3</v>
      </c>
      <c r="H29" t="s">
        <v>4</v>
      </c>
      <c r="I29" t="s">
        <v>11</v>
      </c>
      <c r="J29" t="s">
        <v>19</v>
      </c>
      <c r="K29" t="s">
        <v>12</v>
      </c>
      <c r="L29" t="s">
        <v>13</v>
      </c>
    </row>
    <row r="30" spans="1:12" x14ac:dyDescent="0.2">
      <c r="A30">
        <v>25</v>
      </c>
      <c r="B30" t="s">
        <v>62</v>
      </c>
      <c r="C30" t="s">
        <v>59</v>
      </c>
      <c r="D30" t="s">
        <v>60</v>
      </c>
      <c r="E30" t="s">
        <v>61</v>
      </c>
      <c r="F30" t="s">
        <v>18</v>
      </c>
      <c r="G30" t="s">
        <v>3</v>
      </c>
      <c r="H30" t="s">
        <v>4</v>
      </c>
      <c r="I30" t="s">
        <v>11</v>
      </c>
      <c r="J30" t="s">
        <v>19</v>
      </c>
      <c r="K30" t="s">
        <v>12</v>
      </c>
      <c r="L30" t="s">
        <v>13</v>
      </c>
    </row>
    <row r="31" spans="1:12" x14ac:dyDescent="0.2">
      <c r="A31">
        <v>29</v>
      </c>
      <c r="B31" t="s">
        <v>63</v>
      </c>
      <c r="C31" t="s">
        <v>64</v>
      </c>
      <c r="D31" t="s">
        <v>65</v>
      </c>
      <c r="E31" t="s">
        <v>66</v>
      </c>
      <c r="F31" t="s">
        <v>40</v>
      </c>
      <c r="G31" t="s">
        <v>3</v>
      </c>
      <c r="H31" t="s">
        <v>4</v>
      </c>
      <c r="I31" t="s">
        <v>11</v>
      </c>
      <c r="J31" t="s">
        <v>19</v>
      </c>
      <c r="K31" t="s">
        <v>12</v>
      </c>
      <c r="L31" t="s">
        <v>13</v>
      </c>
    </row>
    <row r="32" spans="1:12" x14ac:dyDescent="0.2">
      <c r="A32">
        <v>30</v>
      </c>
      <c r="B32" t="s">
        <v>67</v>
      </c>
      <c r="C32" t="s">
        <v>64</v>
      </c>
      <c r="D32" t="s">
        <v>65</v>
      </c>
      <c r="E32" t="s">
        <v>66</v>
      </c>
      <c r="F32" t="s">
        <v>40</v>
      </c>
      <c r="G32" t="s">
        <v>3</v>
      </c>
      <c r="H32" t="s">
        <v>4</v>
      </c>
      <c r="I32" t="s">
        <v>11</v>
      </c>
      <c r="J32" t="s">
        <v>19</v>
      </c>
      <c r="K32" t="s">
        <v>12</v>
      </c>
      <c r="L32" t="s">
        <v>13</v>
      </c>
    </row>
    <row r="33" spans="1:12" x14ac:dyDescent="0.2">
      <c r="A33">
        <v>31</v>
      </c>
      <c r="B33" t="s">
        <v>68</v>
      </c>
      <c r="C33" t="s">
        <v>64</v>
      </c>
      <c r="D33" t="s">
        <v>65</v>
      </c>
      <c r="E33" t="s">
        <v>66</v>
      </c>
      <c r="F33" t="s">
        <v>18</v>
      </c>
      <c r="G33" t="s">
        <v>3</v>
      </c>
      <c r="H33" t="s">
        <v>4</v>
      </c>
      <c r="I33" t="s">
        <v>11</v>
      </c>
      <c r="J33" t="s">
        <v>19</v>
      </c>
      <c r="K33" t="s">
        <v>12</v>
      </c>
      <c r="L33" t="s">
        <v>13</v>
      </c>
    </row>
    <row r="34" spans="1:12" x14ac:dyDescent="0.2">
      <c r="A34">
        <v>34</v>
      </c>
      <c r="B34" t="s">
        <v>69</v>
      </c>
      <c r="C34" t="s">
        <v>8</v>
      </c>
      <c r="D34" t="s">
        <v>9</v>
      </c>
      <c r="E34" t="s">
        <v>9</v>
      </c>
      <c r="F34" t="s">
        <v>1</v>
      </c>
      <c r="G34" t="s">
        <v>3</v>
      </c>
      <c r="H34" t="s">
        <v>4</v>
      </c>
      <c r="I34" t="s">
        <v>11</v>
      </c>
      <c r="J34" t="s">
        <v>6</v>
      </c>
      <c r="K34" t="s">
        <v>12</v>
      </c>
      <c r="L34" t="s">
        <v>3</v>
      </c>
    </row>
    <row r="35" spans="1:12" x14ac:dyDescent="0.2">
      <c r="A35">
        <v>32</v>
      </c>
      <c r="B35" t="s">
        <v>70</v>
      </c>
      <c r="C35" t="s">
        <v>71</v>
      </c>
      <c r="D35" t="s">
        <v>72</v>
      </c>
      <c r="E35" t="s">
        <v>73</v>
      </c>
      <c r="F35" t="s">
        <v>40</v>
      </c>
      <c r="G35" t="s">
        <v>3</v>
      </c>
      <c r="H35" t="s">
        <v>4</v>
      </c>
      <c r="I35" t="s">
        <v>11</v>
      </c>
      <c r="J35" t="s">
        <v>19</v>
      </c>
      <c r="K35" t="s">
        <v>12</v>
      </c>
      <c r="L35" t="s">
        <v>13</v>
      </c>
    </row>
    <row r="36" spans="1:12" x14ac:dyDescent="0.2">
      <c r="A36">
        <v>33</v>
      </c>
      <c r="B36" t="s">
        <v>74</v>
      </c>
      <c r="C36" t="s">
        <v>71</v>
      </c>
      <c r="D36" t="s">
        <v>72</v>
      </c>
      <c r="E36" t="s">
        <v>73</v>
      </c>
      <c r="F36" t="s">
        <v>18</v>
      </c>
      <c r="G36" t="s">
        <v>3</v>
      </c>
      <c r="H36" t="s">
        <v>4</v>
      </c>
      <c r="I36" t="s">
        <v>11</v>
      </c>
      <c r="J36" t="s">
        <v>19</v>
      </c>
      <c r="K36" t="s">
        <v>12</v>
      </c>
      <c r="L36" t="s">
        <v>13</v>
      </c>
    </row>
    <row r="37" spans="1:12" x14ac:dyDescent="0.2">
      <c r="A37">
        <v>38</v>
      </c>
      <c r="B37" t="s">
        <v>75</v>
      </c>
      <c r="C37" t="s">
        <v>8</v>
      </c>
      <c r="D37" t="s">
        <v>9</v>
      </c>
      <c r="E37" t="s">
        <v>9</v>
      </c>
      <c r="F37" t="s">
        <v>1</v>
      </c>
      <c r="G37" t="s">
        <v>3</v>
      </c>
      <c r="H37" t="s">
        <v>4</v>
      </c>
      <c r="I37" t="s">
        <v>11</v>
      </c>
      <c r="J37" t="s">
        <v>6</v>
      </c>
      <c r="K37" t="s">
        <v>12</v>
      </c>
      <c r="L37" t="s">
        <v>3</v>
      </c>
    </row>
    <row r="38" spans="1:12" x14ac:dyDescent="0.2">
      <c r="A38">
        <v>39</v>
      </c>
      <c r="B38" t="s">
        <v>76</v>
      </c>
      <c r="C38" t="s">
        <v>8</v>
      </c>
      <c r="D38" t="s">
        <v>9</v>
      </c>
      <c r="E38" t="s">
        <v>9</v>
      </c>
      <c r="F38" t="s">
        <v>77</v>
      </c>
      <c r="G38" t="s">
        <v>3</v>
      </c>
      <c r="H38" t="s">
        <v>4</v>
      </c>
      <c r="I38" t="s">
        <v>11</v>
      </c>
      <c r="J38" t="s">
        <v>6</v>
      </c>
      <c r="K38" t="s">
        <v>12</v>
      </c>
      <c r="L38" t="s">
        <v>3</v>
      </c>
    </row>
    <row r="39" spans="1:12" x14ac:dyDescent="0.2">
      <c r="A39">
        <v>35</v>
      </c>
      <c r="B39" t="s">
        <v>78</v>
      </c>
      <c r="C39" t="s">
        <v>79</v>
      </c>
      <c r="D39" t="s">
        <v>80</v>
      </c>
      <c r="E39" t="s">
        <v>81</v>
      </c>
      <c r="F39" t="s">
        <v>77</v>
      </c>
      <c r="G39" t="s">
        <v>3</v>
      </c>
      <c r="H39" t="s">
        <v>4</v>
      </c>
      <c r="I39" t="s">
        <v>11</v>
      </c>
      <c r="J39" t="s">
        <v>6</v>
      </c>
      <c r="K39" t="s">
        <v>12</v>
      </c>
      <c r="L39" t="s">
        <v>3</v>
      </c>
    </row>
    <row r="40" spans="1:12" x14ac:dyDescent="0.2">
      <c r="A40">
        <v>36</v>
      </c>
      <c r="B40" t="s">
        <v>82</v>
      </c>
      <c r="C40" t="s">
        <v>79</v>
      </c>
      <c r="D40" t="s">
        <v>80</v>
      </c>
      <c r="E40" t="s">
        <v>81</v>
      </c>
      <c r="F40" t="s">
        <v>77</v>
      </c>
      <c r="G40" t="s">
        <v>3</v>
      </c>
      <c r="H40" t="s">
        <v>4</v>
      </c>
      <c r="I40" t="s">
        <v>11</v>
      </c>
      <c r="J40" t="s">
        <v>6</v>
      </c>
      <c r="K40" t="s">
        <v>12</v>
      </c>
      <c r="L40" t="s">
        <v>3</v>
      </c>
    </row>
    <row r="41" spans="1:12" x14ac:dyDescent="0.2">
      <c r="A41">
        <v>37</v>
      </c>
      <c r="B41" t="s">
        <v>83</v>
      </c>
      <c r="C41" t="s">
        <v>79</v>
      </c>
      <c r="D41" t="s">
        <v>80</v>
      </c>
      <c r="E41" t="s">
        <v>81</v>
      </c>
      <c r="F41" t="s">
        <v>77</v>
      </c>
      <c r="G41" t="s">
        <v>3</v>
      </c>
      <c r="H41" t="s">
        <v>4</v>
      </c>
      <c r="I41" t="s">
        <v>11</v>
      </c>
      <c r="J41" t="s">
        <v>6</v>
      </c>
      <c r="K41" t="s">
        <v>12</v>
      </c>
      <c r="L41" t="s">
        <v>3</v>
      </c>
    </row>
    <row r="42" spans="1:12" x14ac:dyDescent="0.2">
      <c r="A42">
        <v>40</v>
      </c>
      <c r="B42" t="s">
        <v>84</v>
      </c>
      <c r="C42" t="s">
        <v>8</v>
      </c>
      <c r="D42" t="s">
        <v>9</v>
      </c>
      <c r="E42" t="s">
        <v>9</v>
      </c>
      <c r="F42" t="s">
        <v>1</v>
      </c>
      <c r="G42" t="s">
        <v>3</v>
      </c>
      <c r="H42" t="s">
        <v>4</v>
      </c>
      <c r="I42" t="s">
        <v>11</v>
      </c>
      <c r="J42" t="s">
        <v>6</v>
      </c>
      <c r="K42" t="s">
        <v>12</v>
      </c>
      <c r="L42" t="s">
        <v>13</v>
      </c>
    </row>
    <row r="43" spans="1:12" x14ac:dyDescent="0.2">
      <c r="A43">
        <v>41</v>
      </c>
      <c r="B43" t="s">
        <v>85</v>
      </c>
      <c r="C43" t="s">
        <v>8</v>
      </c>
      <c r="D43" t="s">
        <v>9</v>
      </c>
      <c r="E43" t="s">
        <v>9</v>
      </c>
      <c r="F43" t="s">
        <v>32</v>
      </c>
      <c r="G43" t="s">
        <v>3</v>
      </c>
      <c r="H43" t="s">
        <v>4</v>
      </c>
      <c r="I43" t="s">
        <v>11</v>
      </c>
      <c r="J43" t="s">
        <v>6</v>
      </c>
      <c r="K43" t="s">
        <v>12</v>
      </c>
      <c r="L43" t="s">
        <v>13</v>
      </c>
    </row>
    <row r="44" spans="1:12" x14ac:dyDescent="0.2">
      <c r="A44">
        <v>42</v>
      </c>
      <c r="B44" t="s">
        <v>86</v>
      </c>
      <c r="C44" t="s">
        <v>8</v>
      </c>
      <c r="D44" t="s">
        <v>9</v>
      </c>
      <c r="E44" t="s">
        <v>9</v>
      </c>
      <c r="F44" t="s">
        <v>1</v>
      </c>
      <c r="G44" t="s">
        <v>3</v>
      </c>
      <c r="H44" t="s">
        <v>4</v>
      </c>
      <c r="I44" t="s">
        <v>11</v>
      </c>
      <c r="J44" t="s">
        <v>6</v>
      </c>
      <c r="K44" t="s">
        <v>12</v>
      </c>
      <c r="L44" t="s">
        <v>13</v>
      </c>
    </row>
    <row r="45" spans="1:12" x14ac:dyDescent="0.2">
      <c r="A45">
        <v>43</v>
      </c>
      <c r="B45" t="s">
        <v>87</v>
      </c>
      <c r="C45" t="s">
        <v>8</v>
      </c>
      <c r="D45" t="s">
        <v>9</v>
      </c>
      <c r="E45" t="s">
        <v>9</v>
      </c>
      <c r="F45" t="s">
        <v>10</v>
      </c>
      <c r="G45" t="s">
        <v>3</v>
      </c>
      <c r="H45" t="s">
        <v>4</v>
      </c>
      <c r="I45" t="s">
        <v>11</v>
      </c>
      <c r="J45" t="s">
        <v>6</v>
      </c>
      <c r="K45" t="s">
        <v>12</v>
      </c>
      <c r="L45" t="s">
        <v>13</v>
      </c>
    </row>
    <row r="46" spans="1:12" x14ac:dyDescent="0.2">
      <c r="A46">
        <v>44</v>
      </c>
      <c r="B46" t="s">
        <v>88</v>
      </c>
      <c r="C46" t="s">
        <v>59</v>
      </c>
      <c r="D46" t="s">
        <v>60</v>
      </c>
      <c r="E46" t="s">
        <v>60</v>
      </c>
      <c r="F46" t="s">
        <v>40</v>
      </c>
      <c r="G46" t="s">
        <v>3</v>
      </c>
      <c r="H46" t="s">
        <v>4</v>
      </c>
      <c r="I46" t="s">
        <v>11</v>
      </c>
      <c r="J46" t="s">
        <v>19</v>
      </c>
      <c r="K46" t="s">
        <v>12</v>
      </c>
      <c r="L46" t="s">
        <v>13</v>
      </c>
    </row>
    <row r="47" spans="1:12" x14ac:dyDescent="0.2">
      <c r="A47">
        <v>45</v>
      </c>
      <c r="B47" t="s">
        <v>89</v>
      </c>
      <c r="C47" t="s">
        <v>64</v>
      </c>
      <c r="D47" t="s">
        <v>65</v>
      </c>
      <c r="E47" t="s">
        <v>65</v>
      </c>
      <c r="F47" t="s">
        <v>40</v>
      </c>
      <c r="G47" t="s">
        <v>3</v>
      </c>
      <c r="H47" t="s">
        <v>4</v>
      </c>
      <c r="I47" t="s">
        <v>11</v>
      </c>
      <c r="J47" t="s">
        <v>19</v>
      </c>
      <c r="K47" t="s">
        <v>12</v>
      </c>
      <c r="L47" t="s">
        <v>13</v>
      </c>
    </row>
    <row r="48" spans="1:12" x14ac:dyDescent="0.2">
      <c r="A48">
        <v>46</v>
      </c>
      <c r="B48" t="s">
        <v>90</v>
      </c>
      <c r="C48" t="s">
        <v>64</v>
      </c>
      <c r="D48" t="s">
        <v>65</v>
      </c>
      <c r="E48" t="s">
        <v>65</v>
      </c>
      <c r="F48" t="s">
        <v>18</v>
      </c>
      <c r="G48" t="s">
        <v>3</v>
      </c>
      <c r="H48" t="s">
        <v>4</v>
      </c>
      <c r="I48" t="s">
        <v>11</v>
      </c>
      <c r="J48" t="s">
        <v>19</v>
      </c>
      <c r="K48" t="s">
        <v>12</v>
      </c>
      <c r="L48" t="s">
        <v>13</v>
      </c>
    </row>
    <row r="49" spans="1:12" x14ac:dyDescent="0.2">
      <c r="A49">
        <v>47</v>
      </c>
      <c r="B49" t="s">
        <v>91</v>
      </c>
      <c r="C49" t="s">
        <v>79</v>
      </c>
      <c r="D49" t="s">
        <v>80</v>
      </c>
      <c r="E49" t="s">
        <v>80</v>
      </c>
      <c r="F49" t="s">
        <v>18</v>
      </c>
      <c r="G49" t="s">
        <v>3</v>
      </c>
      <c r="H49" t="s">
        <v>4</v>
      </c>
      <c r="I49" t="s">
        <v>11</v>
      </c>
      <c r="J49" t="s">
        <v>19</v>
      </c>
      <c r="K49" t="s">
        <v>12</v>
      </c>
      <c r="L49" t="s">
        <v>13</v>
      </c>
    </row>
    <row r="50" spans="1:12" x14ac:dyDescent="0.2">
      <c r="A50">
        <v>48</v>
      </c>
      <c r="B50" t="s">
        <v>92</v>
      </c>
      <c r="C50" t="s">
        <v>37</v>
      </c>
      <c r="D50" t="s">
        <v>38</v>
      </c>
      <c r="E50" t="s">
        <v>38</v>
      </c>
      <c r="F50" t="s">
        <v>40</v>
      </c>
      <c r="G50" t="s">
        <v>3</v>
      </c>
      <c r="H50" t="s">
        <v>4</v>
      </c>
      <c r="I50" t="s">
        <v>11</v>
      </c>
      <c r="J50" t="s">
        <v>19</v>
      </c>
      <c r="K50" t="s">
        <v>12</v>
      </c>
      <c r="L50" t="s">
        <v>13</v>
      </c>
    </row>
    <row r="51" spans="1:12" x14ac:dyDescent="0.2">
      <c r="A51">
        <v>49</v>
      </c>
      <c r="B51" t="s">
        <v>93</v>
      </c>
      <c r="C51" t="s">
        <v>8</v>
      </c>
      <c r="D51" t="s">
        <v>9</v>
      </c>
      <c r="E51" t="s">
        <v>9</v>
      </c>
      <c r="F51" t="s">
        <v>1</v>
      </c>
      <c r="G51" t="s">
        <v>3</v>
      </c>
      <c r="H51" t="s">
        <v>4</v>
      </c>
      <c r="I51" t="s">
        <v>11</v>
      </c>
      <c r="J51" t="s">
        <v>6</v>
      </c>
      <c r="K51" t="s">
        <v>12</v>
      </c>
      <c r="L51" t="s">
        <v>13</v>
      </c>
    </row>
    <row r="52" spans="1:12" x14ac:dyDescent="0.2">
      <c r="A52">
        <v>50</v>
      </c>
      <c r="B52" t="s">
        <v>94</v>
      </c>
      <c r="C52" t="s">
        <v>8</v>
      </c>
      <c r="D52" t="s">
        <v>9</v>
      </c>
      <c r="E52" t="s">
        <v>9</v>
      </c>
      <c r="F52" t="s">
        <v>10</v>
      </c>
      <c r="G52" t="s">
        <v>3</v>
      </c>
      <c r="H52" t="s">
        <v>4</v>
      </c>
      <c r="I52" t="s">
        <v>11</v>
      </c>
      <c r="J52" t="s">
        <v>6</v>
      </c>
      <c r="K52" t="s">
        <v>12</v>
      </c>
      <c r="L52" t="s">
        <v>13</v>
      </c>
    </row>
    <row r="53" spans="1:12" x14ac:dyDescent="0.2">
      <c r="A53">
        <v>51</v>
      </c>
      <c r="B53" t="s">
        <v>95</v>
      </c>
      <c r="C53" t="s">
        <v>8</v>
      </c>
      <c r="D53" t="s">
        <v>9</v>
      </c>
      <c r="E53" t="s">
        <v>9</v>
      </c>
      <c r="F53" t="s">
        <v>10</v>
      </c>
      <c r="G53" t="s">
        <v>3</v>
      </c>
      <c r="H53" t="s">
        <v>4</v>
      </c>
      <c r="I53" t="s">
        <v>11</v>
      </c>
      <c r="J53" t="s">
        <v>6</v>
      </c>
      <c r="K53" t="s">
        <v>12</v>
      </c>
      <c r="L53" t="s">
        <v>13</v>
      </c>
    </row>
    <row r="54" spans="1:12" x14ac:dyDescent="0.2">
      <c r="A54">
        <v>52</v>
      </c>
      <c r="B54" t="s">
        <v>96</v>
      </c>
      <c r="C54" t="s">
        <v>23</v>
      </c>
      <c r="D54" t="s">
        <v>24</v>
      </c>
      <c r="E54" t="s">
        <v>25</v>
      </c>
      <c r="F54" t="s">
        <v>23</v>
      </c>
      <c r="G54" t="s">
        <v>3</v>
      </c>
      <c r="H54" t="s">
        <v>4</v>
      </c>
      <c r="I54" t="s">
        <v>11</v>
      </c>
      <c r="J54" t="s">
        <v>19</v>
      </c>
      <c r="K54" t="s">
        <v>12</v>
      </c>
      <c r="L54" t="s">
        <v>13</v>
      </c>
    </row>
    <row r="55" spans="1:12" x14ac:dyDescent="0.2">
      <c r="A55">
        <v>53</v>
      </c>
      <c r="B55" t="s">
        <v>97</v>
      </c>
      <c r="C55" t="s">
        <v>79</v>
      </c>
      <c r="D55" t="s">
        <v>80</v>
      </c>
      <c r="E55" t="s">
        <v>80</v>
      </c>
      <c r="F55" t="s">
        <v>40</v>
      </c>
      <c r="G55" t="s">
        <v>3</v>
      </c>
      <c r="H55" t="s">
        <v>4</v>
      </c>
      <c r="I55" t="s">
        <v>11</v>
      </c>
      <c r="J55" t="s">
        <v>19</v>
      </c>
      <c r="K55" t="s">
        <v>12</v>
      </c>
      <c r="L55" t="s">
        <v>13</v>
      </c>
    </row>
    <row r="56" spans="1:12" x14ac:dyDescent="0.2">
      <c r="A56">
        <v>54</v>
      </c>
      <c r="B56" t="s">
        <v>98</v>
      </c>
      <c r="C56" t="s">
        <v>79</v>
      </c>
      <c r="D56" t="s">
        <v>80</v>
      </c>
      <c r="E56" t="s">
        <v>80</v>
      </c>
      <c r="F56" t="s">
        <v>18</v>
      </c>
      <c r="G56" t="s">
        <v>3</v>
      </c>
      <c r="H56" t="s">
        <v>4</v>
      </c>
      <c r="I56" t="s">
        <v>11</v>
      </c>
      <c r="J56" t="s">
        <v>19</v>
      </c>
      <c r="K56" t="s">
        <v>12</v>
      </c>
      <c r="L56" t="s">
        <v>13</v>
      </c>
    </row>
    <row r="57" spans="1:12" x14ac:dyDescent="0.2">
      <c r="A57">
        <v>55</v>
      </c>
      <c r="B57" t="s">
        <v>99</v>
      </c>
      <c r="C57" t="s">
        <v>100</v>
      </c>
      <c r="D57" t="s">
        <v>101</v>
      </c>
      <c r="E57" t="s">
        <v>102</v>
      </c>
      <c r="F57" t="s">
        <v>18</v>
      </c>
      <c r="G57">
        <v>1</v>
      </c>
      <c r="H57" t="s">
        <v>4</v>
      </c>
      <c r="I57" t="s">
        <v>11</v>
      </c>
      <c r="J57" t="s">
        <v>19</v>
      </c>
      <c r="K57" t="s">
        <v>12</v>
      </c>
      <c r="L57" t="s">
        <v>13</v>
      </c>
    </row>
    <row r="58" spans="1:12" x14ac:dyDescent="0.2">
      <c r="A58">
        <v>56</v>
      </c>
      <c r="B58" t="s">
        <v>103</v>
      </c>
      <c r="C58" t="s">
        <v>16</v>
      </c>
      <c r="D58" t="s">
        <v>104</v>
      </c>
      <c r="E58" t="s">
        <v>105</v>
      </c>
      <c r="F58" t="s">
        <v>18</v>
      </c>
      <c r="G58">
        <v>2</v>
      </c>
      <c r="H58" t="s">
        <v>4</v>
      </c>
      <c r="I58" t="s">
        <v>11</v>
      </c>
      <c r="J58" t="s">
        <v>19</v>
      </c>
      <c r="K58" t="s">
        <v>12</v>
      </c>
      <c r="L58" t="s">
        <v>13</v>
      </c>
    </row>
    <row r="59" spans="1:12" x14ac:dyDescent="0.2">
      <c r="A59">
        <v>57</v>
      </c>
      <c r="B59" t="s">
        <v>106</v>
      </c>
      <c r="C59" t="s">
        <v>107</v>
      </c>
      <c r="D59" t="s">
        <v>108</v>
      </c>
      <c r="E59" t="s">
        <v>109</v>
      </c>
      <c r="F59" t="s">
        <v>40</v>
      </c>
      <c r="G59" t="s">
        <v>3</v>
      </c>
      <c r="H59" t="s">
        <v>4</v>
      </c>
      <c r="I59" t="s">
        <v>11</v>
      </c>
      <c r="J59" t="s">
        <v>19</v>
      </c>
      <c r="K59" t="s">
        <v>12</v>
      </c>
      <c r="L59" t="s">
        <v>13</v>
      </c>
    </row>
    <row r="60" spans="1:12" x14ac:dyDescent="0.2">
      <c r="A60">
        <v>58</v>
      </c>
      <c r="B60" t="s">
        <v>110</v>
      </c>
      <c r="C60" t="s">
        <v>107</v>
      </c>
      <c r="D60" t="s">
        <v>108</v>
      </c>
      <c r="E60" t="s">
        <v>109</v>
      </c>
      <c r="F60" t="s">
        <v>18</v>
      </c>
      <c r="G60">
        <v>1</v>
      </c>
      <c r="H60" t="s">
        <v>4</v>
      </c>
      <c r="I60" t="s">
        <v>11</v>
      </c>
      <c r="J60" t="s">
        <v>19</v>
      </c>
      <c r="K60" t="s">
        <v>12</v>
      </c>
      <c r="L60" t="s">
        <v>13</v>
      </c>
    </row>
    <row r="61" spans="1:12" x14ac:dyDescent="0.2">
      <c r="A61">
        <v>59</v>
      </c>
      <c r="B61" t="s">
        <v>111</v>
      </c>
      <c r="C61" t="s">
        <v>54</v>
      </c>
      <c r="D61" t="s">
        <v>55</v>
      </c>
      <c r="E61" t="s">
        <v>56</v>
      </c>
      <c r="F61" t="s">
        <v>57</v>
      </c>
      <c r="G61" t="s">
        <v>3</v>
      </c>
      <c r="H61" t="s">
        <v>4</v>
      </c>
      <c r="I61" t="s">
        <v>11</v>
      </c>
      <c r="J61" t="s">
        <v>6</v>
      </c>
      <c r="K61" t="s">
        <v>12</v>
      </c>
      <c r="L61" t="s">
        <v>3</v>
      </c>
    </row>
    <row r="62" spans="1:12" x14ac:dyDescent="0.2">
      <c r="A62">
        <v>60</v>
      </c>
      <c r="B62" t="s">
        <v>112</v>
      </c>
      <c r="C62" t="s">
        <v>8</v>
      </c>
      <c r="D62" t="s">
        <v>9</v>
      </c>
      <c r="E62" t="s">
        <v>9</v>
      </c>
      <c r="F62" t="s">
        <v>32</v>
      </c>
      <c r="G62" t="s">
        <v>3</v>
      </c>
      <c r="H62" t="s">
        <v>4</v>
      </c>
      <c r="I62" t="s">
        <v>11</v>
      </c>
      <c r="J62" t="s">
        <v>6</v>
      </c>
      <c r="K62" t="s">
        <v>12</v>
      </c>
      <c r="L62" t="s">
        <v>3</v>
      </c>
    </row>
    <row r="63" spans="1:12" x14ac:dyDescent="0.2">
      <c r="A63">
        <v>61</v>
      </c>
      <c r="B63" t="s">
        <v>113</v>
      </c>
      <c r="C63" t="s">
        <v>71</v>
      </c>
      <c r="D63" t="s">
        <v>72</v>
      </c>
      <c r="E63" t="s">
        <v>73</v>
      </c>
      <c r="F63" t="s">
        <v>40</v>
      </c>
      <c r="G63" t="s">
        <v>3</v>
      </c>
      <c r="H63" t="s">
        <v>4</v>
      </c>
      <c r="I63" t="s">
        <v>11</v>
      </c>
      <c r="J63" t="s">
        <v>19</v>
      </c>
      <c r="K63" t="s">
        <v>12</v>
      </c>
      <c r="L63" t="s">
        <v>13</v>
      </c>
    </row>
    <row r="64" spans="1:12" x14ac:dyDescent="0.2">
      <c r="A64">
        <v>62</v>
      </c>
      <c r="B64" t="s">
        <v>114</v>
      </c>
      <c r="C64" t="s">
        <v>8</v>
      </c>
      <c r="D64" t="s">
        <v>9</v>
      </c>
      <c r="E64" t="s">
        <v>9</v>
      </c>
      <c r="F64" t="s">
        <v>10</v>
      </c>
      <c r="G64" t="s">
        <v>3</v>
      </c>
      <c r="H64" t="s">
        <v>4</v>
      </c>
      <c r="I64" t="s">
        <v>11</v>
      </c>
      <c r="J64" t="s">
        <v>6</v>
      </c>
      <c r="K64" t="s">
        <v>12</v>
      </c>
      <c r="L64" t="s">
        <v>3</v>
      </c>
    </row>
    <row r="65" spans="1:12" x14ac:dyDescent="0.2">
      <c r="A65">
        <v>63</v>
      </c>
      <c r="B65" t="s">
        <v>115</v>
      </c>
      <c r="C65" t="s">
        <v>27</v>
      </c>
      <c r="D65" t="s">
        <v>28</v>
      </c>
      <c r="E65" t="s">
        <v>29</v>
      </c>
      <c r="F65" t="s">
        <v>40</v>
      </c>
      <c r="G65" t="s">
        <v>3</v>
      </c>
      <c r="H65" t="s">
        <v>4</v>
      </c>
      <c r="I65" t="s">
        <v>11</v>
      </c>
      <c r="J65" t="s">
        <v>19</v>
      </c>
      <c r="K65" t="s">
        <v>12</v>
      </c>
      <c r="L65" t="s">
        <v>13</v>
      </c>
    </row>
    <row r="66" spans="1:12" x14ac:dyDescent="0.2">
      <c r="A66">
        <v>64</v>
      </c>
      <c r="B66" t="s">
        <v>116</v>
      </c>
      <c r="C66" t="s">
        <v>37</v>
      </c>
      <c r="D66" t="s">
        <v>38</v>
      </c>
      <c r="E66" t="s">
        <v>39</v>
      </c>
      <c r="F66" t="s">
        <v>40</v>
      </c>
      <c r="G66" t="s">
        <v>3</v>
      </c>
      <c r="H66" t="s">
        <v>4</v>
      </c>
      <c r="I66" t="s">
        <v>11</v>
      </c>
      <c r="J66" t="s">
        <v>19</v>
      </c>
      <c r="K66" t="s">
        <v>12</v>
      </c>
      <c r="L66" t="s">
        <v>13</v>
      </c>
    </row>
    <row r="67" spans="1:12" x14ac:dyDescent="0.2">
      <c r="A67">
        <v>65</v>
      </c>
      <c r="B67" t="s">
        <v>117</v>
      </c>
      <c r="C67" t="s">
        <v>37</v>
      </c>
      <c r="D67" t="s">
        <v>38</v>
      </c>
      <c r="E67" t="s">
        <v>39</v>
      </c>
      <c r="F67" t="s">
        <v>18</v>
      </c>
      <c r="G67">
        <v>1</v>
      </c>
      <c r="H67" t="s">
        <v>4</v>
      </c>
      <c r="I67" t="s">
        <v>11</v>
      </c>
      <c r="J67" t="s">
        <v>19</v>
      </c>
      <c r="K67" t="s">
        <v>12</v>
      </c>
      <c r="L67" t="s">
        <v>13</v>
      </c>
    </row>
    <row r="68" spans="1:12" x14ac:dyDescent="0.2">
      <c r="A68">
        <v>66</v>
      </c>
      <c r="B68" t="s">
        <v>118</v>
      </c>
      <c r="C68" t="s">
        <v>8</v>
      </c>
      <c r="D68" t="s">
        <v>9</v>
      </c>
      <c r="E68" t="s">
        <v>9</v>
      </c>
      <c r="F68" t="s">
        <v>119</v>
      </c>
      <c r="G68" t="s">
        <v>3</v>
      </c>
      <c r="H68" t="s">
        <v>4</v>
      </c>
      <c r="I68" t="s">
        <v>11</v>
      </c>
      <c r="J68" t="s">
        <v>6</v>
      </c>
      <c r="K68" t="s">
        <v>12</v>
      </c>
      <c r="L68" t="s">
        <v>3</v>
      </c>
    </row>
    <row r="69" spans="1:12" x14ac:dyDescent="0.2">
      <c r="A69">
        <v>67</v>
      </c>
      <c r="B69" t="s">
        <v>120</v>
      </c>
      <c r="C69" t="s">
        <v>59</v>
      </c>
      <c r="D69" t="s">
        <v>60</v>
      </c>
      <c r="E69" t="s">
        <v>61</v>
      </c>
      <c r="F69" t="s">
        <v>18</v>
      </c>
      <c r="G69">
        <v>1</v>
      </c>
      <c r="H69" t="s">
        <v>4</v>
      </c>
      <c r="I69" t="s">
        <v>11</v>
      </c>
      <c r="J69" t="s">
        <v>19</v>
      </c>
      <c r="K69" t="s">
        <v>12</v>
      </c>
      <c r="L69" t="s">
        <v>13</v>
      </c>
    </row>
    <row r="70" spans="1:12" x14ac:dyDescent="0.2">
      <c r="A70">
        <v>68</v>
      </c>
      <c r="B70" t="s">
        <v>121</v>
      </c>
      <c r="C70" t="s">
        <v>64</v>
      </c>
      <c r="D70" t="s">
        <v>65</v>
      </c>
      <c r="E70" t="s">
        <v>66</v>
      </c>
      <c r="F70" t="s">
        <v>18</v>
      </c>
      <c r="G70">
        <v>1</v>
      </c>
      <c r="H70" t="s">
        <v>4</v>
      </c>
      <c r="I70" t="s">
        <v>11</v>
      </c>
      <c r="J70" t="s">
        <v>19</v>
      </c>
      <c r="K70" t="s">
        <v>12</v>
      </c>
      <c r="L70" t="s">
        <v>13</v>
      </c>
    </row>
    <row r="71" spans="1:12" x14ac:dyDescent="0.2">
      <c r="A71">
        <v>69</v>
      </c>
      <c r="B71" t="s">
        <v>122</v>
      </c>
      <c r="C71" t="s">
        <v>64</v>
      </c>
      <c r="D71" t="s">
        <v>65</v>
      </c>
      <c r="E71" t="s">
        <v>66</v>
      </c>
      <c r="F71" t="s">
        <v>40</v>
      </c>
      <c r="G71" t="s">
        <v>3</v>
      </c>
      <c r="H71" t="s">
        <v>4</v>
      </c>
      <c r="I71" t="s">
        <v>11</v>
      </c>
      <c r="J71" t="s">
        <v>19</v>
      </c>
      <c r="K71" t="s">
        <v>12</v>
      </c>
      <c r="L71" t="s">
        <v>13</v>
      </c>
    </row>
    <row r="72" spans="1:12" x14ac:dyDescent="0.2">
      <c r="A72">
        <v>70</v>
      </c>
      <c r="B72" t="s">
        <v>123</v>
      </c>
      <c r="C72" t="s">
        <v>64</v>
      </c>
      <c r="D72" t="s">
        <v>65</v>
      </c>
      <c r="E72" t="s">
        <v>66</v>
      </c>
      <c r="F72" t="s">
        <v>18</v>
      </c>
      <c r="G72">
        <v>1</v>
      </c>
      <c r="H72" t="s">
        <v>4</v>
      </c>
      <c r="I72" t="s">
        <v>11</v>
      </c>
      <c r="J72" t="s">
        <v>19</v>
      </c>
      <c r="K72" t="s">
        <v>12</v>
      </c>
      <c r="L72" t="s">
        <v>13</v>
      </c>
    </row>
    <row r="73" spans="1:12" x14ac:dyDescent="0.2">
      <c r="A73">
        <v>71</v>
      </c>
      <c r="B73" t="s">
        <v>124</v>
      </c>
      <c r="C73" t="s">
        <v>64</v>
      </c>
      <c r="D73" t="s">
        <v>65</v>
      </c>
      <c r="E73" t="s">
        <v>66</v>
      </c>
      <c r="F73" t="s">
        <v>40</v>
      </c>
      <c r="G73" t="s">
        <v>3</v>
      </c>
      <c r="H73" t="s">
        <v>4</v>
      </c>
      <c r="I73" t="s">
        <v>11</v>
      </c>
      <c r="J73" t="s">
        <v>19</v>
      </c>
      <c r="K73" t="s">
        <v>12</v>
      </c>
      <c r="L73" t="s">
        <v>13</v>
      </c>
    </row>
    <row r="74" spans="1:12" x14ac:dyDescent="0.2">
      <c r="A74">
        <v>72</v>
      </c>
      <c r="B74" t="s">
        <v>125</v>
      </c>
      <c r="C74" t="s">
        <v>64</v>
      </c>
      <c r="D74" t="s">
        <v>65</v>
      </c>
      <c r="E74" t="s">
        <v>66</v>
      </c>
      <c r="F74" t="s">
        <v>40</v>
      </c>
      <c r="G74" t="s">
        <v>3</v>
      </c>
      <c r="H74" t="s">
        <v>4</v>
      </c>
      <c r="I74" t="s">
        <v>11</v>
      </c>
      <c r="J74" t="s">
        <v>19</v>
      </c>
      <c r="K74" t="s">
        <v>12</v>
      </c>
      <c r="L74" t="s">
        <v>13</v>
      </c>
    </row>
    <row r="75" spans="1:12" x14ac:dyDescent="0.2">
      <c r="A75">
        <v>73</v>
      </c>
      <c r="B75" t="s">
        <v>126</v>
      </c>
      <c r="C75" t="s">
        <v>8</v>
      </c>
      <c r="D75" t="s">
        <v>9</v>
      </c>
      <c r="E75" t="s">
        <v>9</v>
      </c>
      <c r="F75" t="s">
        <v>127</v>
      </c>
      <c r="G75" t="s">
        <v>3</v>
      </c>
      <c r="H75" t="s">
        <v>4</v>
      </c>
      <c r="I75" t="s">
        <v>11</v>
      </c>
      <c r="J75" t="s">
        <v>6</v>
      </c>
      <c r="K75" t="s">
        <v>12</v>
      </c>
      <c r="L75" t="s">
        <v>3</v>
      </c>
    </row>
    <row r="76" spans="1:12" x14ac:dyDescent="0.2">
      <c r="A76">
        <v>74</v>
      </c>
      <c r="B76" t="s">
        <v>128</v>
      </c>
      <c r="C76" t="s">
        <v>8</v>
      </c>
      <c r="D76" t="s">
        <v>9</v>
      </c>
      <c r="E76" t="s">
        <v>9</v>
      </c>
      <c r="F76" t="s">
        <v>127</v>
      </c>
      <c r="G76" t="s">
        <v>3</v>
      </c>
      <c r="H76" t="s">
        <v>4</v>
      </c>
      <c r="I76" t="s">
        <v>11</v>
      </c>
      <c r="J76" t="s">
        <v>6</v>
      </c>
      <c r="K76" t="s">
        <v>12</v>
      </c>
      <c r="L76" t="s">
        <v>3</v>
      </c>
    </row>
    <row r="77" spans="1:12" x14ac:dyDescent="0.2">
      <c r="A77">
        <v>75</v>
      </c>
      <c r="B77" t="s">
        <v>129</v>
      </c>
      <c r="C77" t="s">
        <v>8</v>
      </c>
      <c r="D77" t="s">
        <v>9</v>
      </c>
      <c r="E77" t="s">
        <v>9</v>
      </c>
      <c r="F77" t="s">
        <v>127</v>
      </c>
      <c r="G77" t="s">
        <v>3</v>
      </c>
      <c r="H77" t="s">
        <v>4</v>
      </c>
      <c r="I77" t="s">
        <v>11</v>
      </c>
      <c r="J77" t="s">
        <v>6</v>
      </c>
      <c r="K77" t="s">
        <v>12</v>
      </c>
      <c r="L77" t="s">
        <v>3</v>
      </c>
    </row>
    <row r="78" spans="1:12" x14ac:dyDescent="0.2">
      <c r="A78">
        <v>76</v>
      </c>
      <c r="B78" t="s">
        <v>130</v>
      </c>
      <c r="C78" t="s">
        <v>8</v>
      </c>
      <c r="D78" t="s">
        <v>9</v>
      </c>
      <c r="E78" t="s">
        <v>9</v>
      </c>
      <c r="F78" t="s">
        <v>127</v>
      </c>
      <c r="G78" t="s">
        <v>3</v>
      </c>
      <c r="H78" t="s">
        <v>4</v>
      </c>
      <c r="I78" t="s">
        <v>11</v>
      </c>
      <c r="J78" t="s">
        <v>6</v>
      </c>
      <c r="K78" t="s">
        <v>12</v>
      </c>
      <c r="L78" t="s">
        <v>3</v>
      </c>
    </row>
    <row r="79" spans="1:12" x14ac:dyDescent="0.2">
      <c r="A79">
        <v>77</v>
      </c>
      <c r="B79" t="s">
        <v>131</v>
      </c>
      <c r="C79" t="s">
        <v>8</v>
      </c>
      <c r="D79" t="s">
        <v>9</v>
      </c>
      <c r="E79" t="s">
        <v>9</v>
      </c>
      <c r="F79" t="s">
        <v>1</v>
      </c>
      <c r="G79" t="s">
        <v>3</v>
      </c>
      <c r="H79" t="s">
        <v>4</v>
      </c>
      <c r="I79" t="s">
        <v>11</v>
      </c>
      <c r="J79" t="s">
        <v>6</v>
      </c>
      <c r="K79" t="s">
        <v>12</v>
      </c>
      <c r="L79" t="s">
        <v>3</v>
      </c>
    </row>
    <row r="80" spans="1:12" x14ac:dyDescent="0.2">
      <c r="A80">
        <v>78</v>
      </c>
      <c r="B80" t="s">
        <v>132</v>
      </c>
      <c r="C80" t="s">
        <v>37</v>
      </c>
      <c r="D80" t="s">
        <v>38</v>
      </c>
      <c r="E80" t="s">
        <v>39</v>
      </c>
      <c r="F80" t="s">
        <v>18</v>
      </c>
      <c r="G80">
        <v>1</v>
      </c>
      <c r="H80" t="s">
        <v>4</v>
      </c>
      <c r="I80" t="s">
        <v>11</v>
      </c>
      <c r="J80" t="s">
        <v>19</v>
      </c>
      <c r="K80" t="s">
        <v>12</v>
      </c>
      <c r="L80" t="s">
        <v>13</v>
      </c>
    </row>
    <row r="81" spans="1:12" x14ac:dyDescent="0.2">
      <c r="A81">
        <v>79</v>
      </c>
      <c r="B81" t="s">
        <v>133</v>
      </c>
      <c r="C81" t="s">
        <v>79</v>
      </c>
      <c r="D81" t="s">
        <v>80</v>
      </c>
      <c r="E81" t="s">
        <v>81</v>
      </c>
      <c r="F81" t="s">
        <v>40</v>
      </c>
      <c r="G81">
        <v>1</v>
      </c>
      <c r="H81" t="s">
        <v>4</v>
      </c>
      <c r="I81" t="s">
        <v>11</v>
      </c>
      <c r="J81" t="s">
        <v>19</v>
      </c>
      <c r="K81" t="s">
        <v>12</v>
      </c>
      <c r="L81" t="s">
        <v>13</v>
      </c>
    </row>
    <row r="82" spans="1:12" x14ac:dyDescent="0.2">
      <c r="A82">
        <v>80</v>
      </c>
      <c r="B82" t="s">
        <v>134</v>
      </c>
      <c r="C82" t="s">
        <v>8</v>
      </c>
      <c r="D82" t="s">
        <v>135</v>
      </c>
      <c r="E82" t="s">
        <v>135</v>
      </c>
      <c r="F82" t="s">
        <v>1</v>
      </c>
      <c r="G82" t="s">
        <v>3</v>
      </c>
      <c r="H82" t="s">
        <v>136</v>
      </c>
      <c r="I82" t="s">
        <v>137</v>
      </c>
      <c r="J82" t="s">
        <v>6</v>
      </c>
      <c r="K82" t="s">
        <v>1</v>
      </c>
      <c r="L82" t="s">
        <v>3</v>
      </c>
    </row>
    <row r="83" spans="1:12" x14ac:dyDescent="0.2">
      <c r="A83">
        <v>81</v>
      </c>
      <c r="B83" t="s">
        <v>138</v>
      </c>
      <c r="C83" t="s">
        <v>8</v>
      </c>
      <c r="D83" t="s">
        <v>135</v>
      </c>
      <c r="E83" t="s">
        <v>135</v>
      </c>
      <c r="F83" t="s">
        <v>1</v>
      </c>
      <c r="G83" t="s">
        <v>3</v>
      </c>
      <c r="H83" t="s">
        <v>139</v>
      </c>
      <c r="I83" t="s">
        <v>137</v>
      </c>
      <c r="J83" t="s">
        <v>6</v>
      </c>
      <c r="K83" t="s">
        <v>1</v>
      </c>
      <c r="L83" t="s">
        <v>3</v>
      </c>
    </row>
    <row r="84" spans="1:12" x14ac:dyDescent="0.2">
      <c r="A84">
        <v>82</v>
      </c>
      <c r="B84" t="s">
        <v>138</v>
      </c>
      <c r="C84" t="s">
        <v>8</v>
      </c>
      <c r="D84" t="s">
        <v>135</v>
      </c>
      <c r="E84" t="s">
        <v>135</v>
      </c>
      <c r="F84" t="s">
        <v>1</v>
      </c>
      <c r="G84" t="s">
        <v>3</v>
      </c>
      <c r="H84" t="s">
        <v>136</v>
      </c>
      <c r="I84" t="s">
        <v>137</v>
      </c>
      <c r="J84" t="s">
        <v>6</v>
      </c>
      <c r="K84" t="s">
        <v>1</v>
      </c>
      <c r="L84" t="s">
        <v>3</v>
      </c>
    </row>
    <row r="85" spans="1:12" x14ac:dyDescent="0.2">
      <c r="A85">
        <v>83</v>
      </c>
      <c r="B85" t="s">
        <v>140</v>
      </c>
      <c r="C85" t="s">
        <v>8</v>
      </c>
      <c r="D85" t="s">
        <v>135</v>
      </c>
      <c r="E85" t="s">
        <v>135</v>
      </c>
      <c r="F85" t="s">
        <v>1</v>
      </c>
      <c r="G85" t="s">
        <v>3</v>
      </c>
      <c r="H85" t="s">
        <v>136</v>
      </c>
      <c r="I85" t="s">
        <v>137</v>
      </c>
      <c r="J85" t="s">
        <v>6</v>
      </c>
      <c r="K85" t="s">
        <v>1</v>
      </c>
      <c r="L85" t="s">
        <v>3</v>
      </c>
    </row>
    <row r="86" spans="1:12" x14ac:dyDescent="0.2">
      <c r="A86">
        <v>84</v>
      </c>
      <c r="B86" t="s">
        <v>141</v>
      </c>
      <c r="C86" t="s">
        <v>142</v>
      </c>
      <c r="D86" t="s">
        <v>143</v>
      </c>
      <c r="E86" t="s">
        <v>144</v>
      </c>
      <c r="F86" t="s">
        <v>18</v>
      </c>
      <c r="G86">
        <v>1</v>
      </c>
      <c r="H86" t="s">
        <v>136</v>
      </c>
      <c r="I86" t="s">
        <v>137</v>
      </c>
      <c r="J86" t="s">
        <v>19</v>
      </c>
      <c r="K86" t="s">
        <v>1</v>
      </c>
      <c r="L86" t="s">
        <v>145</v>
      </c>
    </row>
    <row r="87" spans="1:12" x14ac:dyDescent="0.2">
      <c r="A87">
        <v>85</v>
      </c>
      <c r="B87" t="s">
        <v>146</v>
      </c>
      <c r="C87" t="s">
        <v>142</v>
      </c>
      <c r="D87" t="s">
        <v>143</v>
      </c>
      <c r="E87" t="s">
        <v>144</v>
      </c>
      <c r="F87" t="s">
        <v>40</v>
      </c>
      <c r="G87">
        <v>1</v>
      </c>
      <c r="H87" t="s">
        <v>136</v>
      </c>
      <c r="I87" t="s">
        <v>137</v>
      </c>
      <c r="J87" t="s">
        <v>19</v>
      </c>
      <c r="K87" t="s">
        <v>1</v>
      </c>
      <c r="L87" t="s">
        <v>145</v>
      </c>
    </row>
    <row r="88" spans="1:12" x14ac:dyDescent="0.2">
      <c r="A88">
        <v>86</v>
      </c>
      <c r="B88" t="s">
        <v>147</v>
      </c>
      <c r="C88" t="s">
        <v>8</v>
      </c>
      <c r="D88" t="s">
        <v>135</v>
      </c>
      <c r="E88" t="s">
        <v>135</v>
      </c>
      <c r="F88" t="s">
        <v>1</v>
      </c>
      <c r="G88" t="s">
        <v>3</v>
      </c>
      <c r="H88" t="s">
        <v>136</v>
      </c>
      <c r="I88" t="s">
        <v>137</v>
      </c>
      <c r="J88" t="s">
        <v>6</v>
      </c>
      <c r="K88" t="s">
        <v>1</v>
      </c>
      <c r="L88" t="s">
        <v>3</v>
      </c>
    </row>
    <row r="89" spans="1:12" x14ac:dyDescent="0.2">
      <c r="A89">
        <v>87</v>
      </c>
      <c r="B89" t="s">
        <v>148</v>
      </c>
      <c r="C89" t="s">
        <v>8</v>
      </c>
      <c r="D89" t="s">
        <v>135</v>
      </c>
      <c r="E89" t="s">
        <v>135</v>
      </c>
      <c r="F89" t="s">
        <v>1</v>
      </c>
      <c r="G89" t="s">
        <v>3</v>
      </c>
      <c r="H89" t="s">
        <v>136</v>
      </c>
      <c r="I89" t="s">
        <v>137</v>
      </c>
      <c r="J89" t="s">
        <v>6</v>
      </c>
      <c r="K89" t="s">
        <v>1</v>
      </c>
      <c r="L89" t="s">
        <v>3</v>
      </c>
    </row>
    <row r="90" spans="1:12" x14ac:dyDescent="0.2">
      <c r="A90">
        <v>88</v>
      </c>
      <c r="B90" t="s">
        <v>149</v>
      </c>
      <c r="C90" t="s">
        <v>8</v>
      </c>
      <c r="D90" t="s">
        <v>135</v>
      </c>
      <c r="E90" t="s">
        <v>135</v>
      </c>
      <c r="F90" t="s">
        <v>1</v>
      </c>
      <c r="G90" t="s">
        <v>3</v>
      </c>
      <c r="H90" t="s">
        <v>136</v>
      </c>
      <c r="I90" t="s">
        <v>137</v>
      </c>
      <c r="J90" t="s">
        <v>6</v>
      </c>
      <c r="K90" t="s">
        <v>1</v>
      </c>
      <c r="L90" t="s">
        <v>3</v>
      </c>
    </row>
    <row r="91" spans="1:12" x14ac:dyDescent="0.2">
      <c r="A91">
        <v>89</v>
      </c>
      <c r="B91" t="s">
        <v>150</v>
      </c>
      <c r="C91" t="s">
        <v>8</v>
      </c>
      <c r="D91" t="s">
        <v>135</v>
      </c>
      <c r="E91" t="s">
        <v>135</v>
      </c>
      <c r="F91" t="s">
        <v>1</v>
      </c>
      <c r="G91" t="s">
        <v>3</v>
      </c>
      <c r="H91" t="s">
        <v>139</v>
      </c>
      <c r="I91" t="s">
        <v>137</v>
      </c>
      <c r="J91" t="s">
        <v>6</v>
      </c>
      <c r="K91" t="s">
        <v>1</v>
      </c>
      <c r="L91" t="s">
        <v>3</v>
      </c>
    </row>
    <row r="92" spans="1:12" x14ac:dyDescent="0.2">
      <c r="A92">
        <v>90</v>
      </c>
      <c r="B92" t="s">
        <v>151</v>
      </c>
      <c r="C92" t="s">
        <v>8</v>
      </c>
      <c r="D92" t="s">
        <v>135</v>
      </c>
      <c r="E92" t="s">
        <v>135</v>
      </c>
      <c r="F92" t="s">
        <v>1</v>
      </c>
      <c r="G92" t="s">
        <v>3</v>
      </c>
      <c r="H92" t="s">
        <v>136</v>
      </c>
      <c r="I92" t="s">
        <v>137</v>
      </c>
      <c r="J92" t="s">
        <v>6</v>
      </c>
      <c r="K92" t="s">
        <v>1</v>
      </c>
      <c r="L92" t="s">
        <v>3</v>
      </c>
    </row>
    <row r="93" spans="1:12" x14ac:dyDescent="0.2">
      <c r="A93">
        <v>92</v>
      </c>
      <c r="B93" t="s">
        <v>152</v>
      </c>
      <c r="C93" t="s">
        <v>8</v>
      </c>
      <c r="D93" t="s">
        <v>135</v>
      </c>
      <c r="E93" t="s">
        <v>135</v>
      </c>
      <c r="F93" t="s">
        <v>1</v>
      </c>
      <c r="G93" t="s">
        <v>3</v>
      </c>
      <c r="H93" t="s">
        <v>139</v>
      </c>
      <c r="I93" t="s">
        <v>137</v>
      </c>
      <c r="J93" t="s">
        <v>6</v>
      </c>
      <c r="K93" t="s">
        <v>1</v>
      </c>
      <c r="L93" t="s">
        <v>3</v>
      </c>
    </row>
    <row r="94" spans="1:12" x14ac:dyDescent="0.2">
      <c r="A94">
        <v>91</v>
      </c>
      <c r="B94" t="s">
        <v>153</v>
      </c>
      <c r="C94" t="s">
        <v>8</v>
      </c>
      <c r="D94" t="s">
        <v>135</v>
      </c>
      <c r="E94" t="s">
        <v>135</v>
      </c>
      <c r="F94" t="s">
        <v>1</v>
      </c>
      <c r="G94" t="s">
        <v>3</v>
      </c>
      <c r="H94" t="s">
        <v>136</v>
      </c>
      <c r="I94" t="s">
        <v>137</v>
      </c>
      <c r="J94" t="s">
        <v>6</v>
      </c>
      <c r="K94" t="s">
        <v>1</v>
      </c>
      <c r="L94" t="s">
        <v>3</v>
      </c>
    </row>
    <row r="95" spans="1:12" x14ac:dyDescent="0.2">
      <c r="A95">
        <v>93</v>
      </c>
      <c r="B95" t="s">
        <v>154</v>
      </c>
      <c r="C95" t="s">
        <v>8</v>
      </c>
      <c r="D95" t="s">
        <v>135</v>
      </c>
      <c r="E95" t="s">
        <v>135</v>
      </c>
      <c r="F95" t="s">
        <v>1</v>
      </c>
      <c r="G95" t="s">
        <v>3</v>
      </c>
      <c r="H95" t="s">
        <v>136</v>
      </c>
      <c r="I95" t="s">
        <v>137</v>
      </c>
      <c r="J95" t="s">
        <v>6</v>
      </c>
      <c r="K95" t="s">
        <v>1</v>
      </c>
      <c r="L95" t="s">
        <v>3</v>
      </c>
    </row>
    <row r="96" spans="1:12" x14ac:dyDescent="0.2">
      <c r="A96">
        <v>94</v>
      </c>
      <c r="B96" t="s">
        <v>155</v>
      </c>
      <c r="C96" t="s">
        <v>8</v>
      </c>
      <c r="D96" t="s">
        <v>135</v>
      </c>
      <c r="E96" t="s">
        <v>135</v>
      </c>
      <c r="F96" t="s">
        <v>1</v>
      </c>
      <c r="G96" t="s">
        <v>3</v>
      </c>
      <c r="H96" t="s">
        <v>136</v>
      </c>
      <c r="I96" t="s">
        <v>137</v>
      </c>
      <c r="J96" t="s">
        <v>6</v>
      </c>
      <c r="K96" t="s">
        <v>1</v>
      </c>
      <c r="L96" t="s">
        <v>3</v>
      </c>
    </row>
    <row r="97" spans="1:18" x14ac:dyDescent="0.2">
      <c r="A97">
        <v>95</v>
      </c>
      <c r="B97" t="s">
        <v>156</v>
      </c>
      <c r="C97" t="s">
        <v>8</v>
      </c>
      <c r="D97" t="s">
        <v>135</v>
      </c>
      <c r="E97" t="s">
        <v>135</v>
      </c>
      <c r="F97" t="s">
        <v>1</v>
      </c>
      <c r="G97" t="s">
        <v>3</v>
      </c>
      <c r="H97" t="s">
        <v>136</v>
      </c>
      <c r="I97" t="s">
        <v>137</v>
      </c>
      <c r="J97" t="s">
        <v>6</v>
      </c>
      <c r="K97" t="s">
        <v>1</v>
      </c>
      <c r="L97" t="s">
        <v>3</v>
      </c>
    </row>
    <row r="98" spans="1:18" x14ac:dyDescent="0.2">
      <c r="A98">
        <v>96</v>
      </c>
      <c r="B98" t="s">
        <v>157</v>
      </c>
      <c r="C98" t="s">
        <v>8</v>
      </c>
      <c r="D98" t="s">
        <v>135</v>
      </c>
      <c r="E98" t="s">
        <v>135</v>
      </c>
      <c r="F98" t="s">
        <v>1</v>
      </c>
      <c r="G98" t="s">
        <v>3</v>
      </c>
      <c r="H98" t="s">
        <v>136</v>
      </c>
      <c r="I98" t="s">
        <v>137</v>
      </c>
      <c r="J98" t="s">
        <v>6</v>
      </c>
      <c r="K98" t="s">
        <v>1</v>
      </c>
      <c r="L98" t="s">
        <v>3</v>
      </c>
    </row>
    <row r="99" spans="1:18" x14ac:dyDescent="0.2">
      <c r="A99">
        <v>97</v>
      </c>
      <c r="B99" t="s">
        <v>158</v>
      </c>
      <c r="C99" t="s">
        <v>8</v>
      </c>
      <c r="D99" t="s">
        <v>135</v>
      </c>
      <c r="E99" t="s">
        <v>135</v>
      </c>
      <c r="F99" t="s">
        <v>1</v>
      </c>
      <c r="G99" t="s">
        <v>3</v>
      </c>
      <c r="H99" t="s">
        <v>139</v>
      </c>
      <c r="I99" t="s">
        <v>137</v>
      </c>
      <c r="J99" t="s">
        <v>6</v>
      </c>
      <c r="K99" t="s">
        <v>1</v>
      </c>
      <c r="L99" t="s">
        <v>3</v>
      </c>
    </row>
    <row r="100" spans="1:18" x14ac:dyDescent="0.2">
      <c r="A100">
        <v>98</v>
      </c>
      <c r="B100" t="s">
        <v>159</v>
      </c>
      <c r="C100" t="s">
        <v>8</v>
      </c>
      <c r="D100" t="s">
        <v>135</v>
      </c>
      <c r="E100" t="s">
        <v>135</v>
      </c>
      <c r="F100" t="s">
        <v>1</v>
      </c>
      <c r="G100" t="s">
        <v>3</v>
      </c>
      <c r="H100" t="s">
        <v>136</v>
      </c>
      <c r="I100" t="s">
        <v>137</v>
      </c>
      <c r="J100" t="s">
        <v>6</v>
      </c>
      <c r="K100" t="s">
        <v>1</v>
      </c>
      <c r="L100" t="s">
        <v>3</v>
      </c>
    </row>
    <row r="101" spans="1:18" x14ac:dyDescent="0.2">
      <c r="A101">
        <v>99</v>
      </c>
      <c r="B101" t="s">
        <v>160</v>
      </c>
      <c r="C101" t="s">
        <v>8</v>
      </c>
      <c r="D101" t="s">
        <v>135</v>
      </c>
      <c r="E101" t="s">
        <v>135</v>
      </c>
      <c r="F101" t="s">
        <v>1</v>
      </c>
      <c r="G101" t="s">
        <v>3</v>
      </c>
      <c r="H101" t="s">
        <v>136</v>
      </c>
      <c r="I101" t="s">
        <v>137</v>
      </c>
      <c r="J101" t="s">
        <v>6</v>
      </c>
      <c r="K101" t="s">
        <v>1</v>
      </c>
      <c r="L101" t="s">
        <v>3</v>
      </c>
    </row>
    <row r="102" spans="1:18" x14ac:dyDescent="0.2">
      <c r="A102">
        <v>100</v>
      </c>
      <c r="B102" t="s">
        <v>161</v>
      </c>
      <c r="C102" t="s">
        <v>8</v>
      </c>
      <c r="D102" t="s">
        <v>135</v>
      </c>
      <c r="E102" t="s">
        <v>135</v>
      </c>
      <c r="F102" t="s">
        <v>1</v>
      </c>
      <c r="G102" t="s">
        <v>3</v>
      </c>
      <c r="H102" t="s">
        <v>139</v>
      </c>
      <c r="I102" t="s">
        <v>137</v>
      </c>
      <c r="J102" t="s">
        <v>6</v>
      </c>
      <c r="K102" t="s">
        <v>1</v>
      </c>
      <c r="L102" t="s">
        <v>3</v>
      </c>
    </row>
    <row r="103" spans="1:18" x14ac:dyDescent="0.2">
      <c r="A103">
        <v>101</v>
      </c>
      <c r="B103" t="s">
        <v>162</v>
      </c>
      <c r="C103" t="s">
        <v>8</v>
      </c>
      <c r="D103" t="s">
        <v>135</v>
      </c>
      <c r="E103" t="s">
        <v>135</v>
      </c>
      <c r="F103" t="s">
        <v>1</v>
      </c>
      <c r="G103" t="s">
        <v>3</v>
      </c>
      <c r="H103" t="s">
        <v>136</v>
      </c>
      <c r="I103" t="s">
        <v>137</v>
      </c>
      <c r="J103" t="s">
        <v>6</v>
      </c>
      <c r="K103" t="s">
        <v>1</v>
      </c>
      <c r="L103" t="s">
        <v>145</v>
      </c>
    </row>
    <row r="104" spans="1:18" x14ac:dyDescent="0.2">
      <c r="A104">
        <v>102</v>
      </c>
      <c r="B104" t="s">
        <v>163</v>
      </c>
      <c r="C104" t="s">
        <v>8</v>
      </c>
      <c r="D104" t="s">
        <v>135</v>
      </c>
      <c r="E104" t="s">
        <v>135</v>
      </c>
      <c r="F104" t="s">
        <v>1</v>
      </c>
      <c r="G104" t="s">
        <v>3</v>
      </c>
      <c r="H104" t="s">
        <v>136</v>
      </c>
      <c r="I104" t="s">
        <v>137</v>
      </c>
      <c r="J104" t="s">
        <v>6</v>
      </c>
      <c r="K104" t="s">
        <v>1</v>
      </c>
      <c r="L104" t="s">
        <v>3</v>
      </c>
      <c r="Q104" s="1" t="s">
        <v>580</v>
      </c>
    </row>
    <row r="105" spans="1:18" x14ac:dyDescent="0.2">
      <c r="A105">
        <v>103</v>
      </c>
      <c r="B105" t="s">
        <v>164</v>
      </c>
      <c r="C105" t="s">
        <v>8</v>
      </c>
      <c r="D105" t="s">
        <v>135</v>
      </c>
      <c r="E105" t="s">
        <v>135</v>
      </c>
      <c r="F105" t="s">
        <v>1</v>
      </c>
      <c r="G105" t="s">
        <v>3</v>
      </c>
      <c r="H105" t="s">
        <v>4</v>
      </c>
      <c r="I105" t="s">
        <v>137</v>
      </c>
      <c r="J105" t="s">
        <v>6</v>
      </c>
      <c r="K105" t="s">
        <v>1</v>
      </c>
      <c r="L105" t="s">
        <v>3</v>
      </c>
      <c r="Q105" t="s">
        <v>637</v>
      </c>
      <c r="R105" t="s">
        <v>640</v>
      </c>
    </row>
    <row r="106" spans="1:18" x14ac:dyDescent="0.2">
      <c r="A106">
        <v>104</v>
      </c>
      <c r="B106" t="s">
        <v>165</v>
      </c>
      <c r="C106" t="s">
        <v>8</v>
      </c>
      <c r="D106" t="s">
        <v>135</v>
      </c>
      <c r="E106" t="s">
        <v>135</v>
      </c>
      <c r="F106" t="s">
        <v>1</v>
      </c>
      <c r="G106" t="s">
        <v>3</v>
      </c>
      <c r="H106" t="s">
        <v>139</v>
      </c>
      <c r="I106" t="s">
        <v>137</v>
      </c>
      <c r="J106" t="s">
        <v>6</v>
      </c>
      <c r="K106" t="s">
        <v>1</v>
      </c>
      <c r="L106" t="s">
        <v>3</v>
      </c>
      <c r="N106" s="1" t="s">
        <v>576</v>
      </c>
      <c r="O106" s="1" t="s">
        <v>580</v>
      </c>
      <c r="Q106" t="s">
        <v>638</v>
      </c>
      <c r="R106" t="s">
        <v>641</v>
      </c>
    </row>
    <row r="107" spans="1:18" x14ac:dyDescent="0.2">
      <c r="A107">
        <v>105</v>
      </c>
      <c r="B107" t="s">
        <v>166</v>
      </c>
      <c r="C107" t="s">
        <v>167</v>
      </c>
      <c r="D107" t="s">
        <v>168</v>
      </c>
      <c r="E107" t="s">
        <v>168</v>
      </c>
      <c r="F107" t="s">
        <v>169</v>
      </c>
      <c r="G107" t="s">
        <v>3</v>
      </c>
      <c r="H107" t="s">
        <v>4</v>
      </c>
      <c r="I107" t="s">
        <v>170</v>
      </c>
      <c r="J107" t="s">
        <v>6</v>
      </c>
      <c r="K107" t="s">
        <v>171</v>
      </c>
      <c r="L107" t="s">
        <v>172</v>
      </c>
      <c r="N107" t="s">
        <v>635</v>
      </c>
      <c r="O107" t="s">
        <v>636</v>
      </c>
      <c r="Q107" t="s">
        <v>642</v>
      </c>
      <c r="R107" t="s">
        <v>643</v>
      </c>
    </row>
    <row r="108" spans="1:18" x14ac:dyDescent="0.2">
      <c r="A108">
        <v>106</v>
      </c>
      <c r="B108" t="s">
        <v>166</v>
      </c>
      <c r="C108" t="s">
        <v>167</v>
      </c>
      <c r="D108" t="s">
        <v>168</v>
      </c>
      <c r="E108" t="s">
        <v>168</v>
      </c>
      <c r="F108" t="s">
        <v>169</v>
      </c>
      <c r="G108" t="s">
        <v>3</v>
      </c>
      <c r="H108" t="s">
        <v>136</v>
      </c>
      <c r="I108" t="s">
        <v>170</v>
      </c>
      <c r="J108" t="s">
        <v>6</v>
      </c>
      <c r="K108" t="s">
        <v>171</v>
      </c>
      <c r="L108" t="s">
        <v>172</v>
      </c>
      <c r="N108" t="s">
        <v>635</v>
      </c>
      <c r="O108" t="s">
        <v>636</v>
      </c>
      <c r="Q108" t="s">
        <v>644</v>
      </c>
      <c r="R108" t="s">
        <v>645</v>
      </c>
    </row>
    <row r="109" spans="1:18" x14ac:dyDescent="0.2">
      <c r="A109">
        <v>107</v>
      </c>
      <c r="B109" t="s">
        <v>173</v>
      </c>
      <c r="C109" t="s">
        <v>167</v>
      </c>
      <c r="D109" t="s">
        <v>168</v>
      </c>
      <c r="E109" t="s">
        <v>168</v>
      </c>
      <c r="F109" t="s">
        <v>40</v>
      </c>
      <c r="G109">
        <v>1</v>
      </c>
      <c r="H109" t="s">
        <v>136</v>
      </c>
      <c r="I109" t="s">
        <v>170</v>
      </c>
      <c r="J109" t="s">
        <v>19</v>
      </c>
      <c r="K109" t="s">
        <v>171</v>
      </c>
      <c r="L109" t="s">
        <v>172</v>
      </c>
      <c r="N109" t="s">
        <v>635</v>
      </c>
      <c r="O109" t="s">
        <v>636</v>
      </c>
      <c r="Q109" t="s">
        <v>639</v>
      </c>
      <c r="R109" t="s">
        <v>646</v>
      </c>
    </row>
    <row r="110" spans="1:18" x14ac:dyDescent="0.2">
      <c r="A110">
        <v>108</v>
      </c>
      <c r="B110" t="s">
        <v>174</v>
      </c>
      <c r="C110" t="s">
        <v>167</v>
      </c>
      <c r="D110" t="s">
        <v>168</v>
      </c>
      <c r="E110" t="s">
        <v>168</v>
      </c>
      <c r="F110" t="s">
        <v>18</v>
      </c>
      <c r="G110">
        <v>1</v>
      </c>
      <c r="H110" t="s">
        <v>136</v>
      </c>
      <c r="I110" t="s">
        <v>170</v>
      </c>
      <c r="J110" t="s">
        <v>19</v>
      </c>
      <c r="K110" t="s">
        <v>171</v>
      </c>
      <c r="L110" t="s">
        <v>172</v>
      </c>
      <c r="N110" t="s">
        <v>635</v>
      </c>
      <c r="O110" t="s">
        <v>636</v>
      </c>
    </row>
    <row r="111" spans="1:18" x14ac:dyDescent="0.2">
      <c r="A111">
        <v>109</v>
      </c>
      <c r="B111" t="s">
        <v>175</v>
      </c>
      <c r="C111" t="s">
        <v>167</v>
      </c>
      <c r="D111" t="s">
        <v>168</v>
      </c>
      <c r="E111" t="s">
        <v>168</v>
      </c>
      <c r="F111" t="s">
        <v>40</v>
      </c>
      <c r="G111">
        <v>1</v>
      </c>
      <c r="H111" t="s">
        <v>136</v>
      </c>
      <c r="I111" t="s">
        <v>170</v>
      </c>
      <c r="J111" t="s">
        <v>19</v>
      </c>
      <c r="K111" t="s">
        <v>171</v>
      </c>
      <c r="L111" t="s">
        <v>172</v>
      </c>
      <c r="N111" t="s">
        <v>635</v>
      </c>
      <c r="O111" t="s">
        <v>636</v>
      </c>
    </row>
    <row r="112" spans="1:18" x14ac:dyDescent="0.2">
      <c r="A112">
        <v>110</v>
      </c>
      <c r="B112" t="s">
        <v>176</v>
      </c>
      <c r="C112" t="s">
        <v>167</v>
      </c>
      <c r="D112" t="s">
        <v>168</v>
      </c>
      <c r="E112" t="s">
        <v>168</v>
      </c>
      <c r="F112" t="s">
        <v>18</v>
      </c>
      <c r="G112">
        <v>1</v>
      </c>
      <c r="H112" t="s">
        <v>136</v>
      </c>
      <c r="I112" t="s">
        <v>170</v>
      </c>
      <c r="J112" t="s">
        <v>19</v>
      </c>
      <c r="K112" t="s">
        <v>171</v>
      </c>
      <c r="L112" t="s">
        <v>172</v>
      </c>
      <c r="N112" t="s">
        <v>635</v>
      </c>
      <c r="O112" t="s">
        <v>636</v>
      </c>
    </row>
    <row r="113" spans="1:15" x14ac:dyDescent="0.2">
      <c r="A113">
        <v>135</v>
      </c>
      <c r="B113" t="s">
        <v>177</v>
      </c>
      <c r="C113" t="s">
        <v>167</v>
      </c>
      <c r="D113" t="s">
        <v>168</v>
      </c>
      <c r="E113" t="s">
        <v>168</v>
      </c>
      <c r="F113" t="s">
        <v>40</v>
      </c>
      <c r="G113">
        <v>1</v>
      </c>
      <c r="H113" t="s">
        <v>136</v>
      </c>
      <c r="I113" t="s">
        <v>170</v>
      </c>
      <c r="J113" t="s">
        <v>19</v>
      </c>
      <c r="K113" t="s">
        <v>12</v>
      </c>
      <c r="L113" t="s">
        <v>13</v>
      </c>
      <c r="N113" t="s">
        <v>647</v>
      </c>
      <c r="O113" t="s">
        <v>648</v>
      </c>
    </row>
    <row r="114" spans="1:15" x14ac:dyDescent="0.2">
      <c r="A114">
        <v>136</v>
      </c>
      <c r="B114" t="s">
        <v>178</v>
      </c>
      <c r="C114" t="s">
        <v>167</v>
      </c>
      <c r="D114" t="s">
        <v>168</v>
      </c>
      <c r="E114" t="s">
        <v>168</v>
      </c>
      <c r="F114" t="s">
        <v>18</v>
      </c>
      <c r="G114">
        <v>1</v>
      </c>
      <c r="H114" t="s">
        <v>136</v>
      </c>
      <c r="I114" t="s">
        <v>170</v>
      </c>
      <c r="J114" t="s">
        <v>19</v>
      </c>
      <c r="K114" t="s">
        <v>12</v>
      </c>
      <c r="L114" t="s">
        <v>13</v>
      </c>
      <c r="N114" t="s">
        <v>647</v>
      </c>
      <c r="O114" t="s">
        <v>648</v>
      </c>
    </row>
    <row r="115" spans="1:15" x14ac:dyDescent="0.2">
      <c r="A115">
        <v>111</v>
      </c>
      <c r="B115" t="s">
        <v>179</v>
      </c>
      <c r="C115" t="s">
        <v>167</v>
      </c>
      <c r="D115" t="s">
        <v>168</v>
      </c>
      <c r="E115" t="s">
        <v>168</v>
      </c>
      <c r="F115" t="s">
        <v>40</v>
      </c>
      <c r="G115">
        <v>1</v>
      </c>
      <c r="H115" t="s">
        <v>136</v>
      </c>
      <c r="I115" t="s">
        <v>170</v>
      </c>
      <c r="J115" t="s">
        <v>19</v>
      </c>
      <c r="K115" t="s">
        <v>171</v>
      </c>
      <c r="L115" t="s">
        <v>172</v>
      </c>
    </row>
    <row r="116" spans="1:15" x14ac:dyDescent="0.2">
      <c r="A116">
        <v>112</v>
      </c>
      <c r="B116" t="s">
        <v>180</v>
      </c>
      <c r="C116" t="s">
        <v>167</v>
      </c>
      <c r="D116" t="s">
        <v>168</v>
      </c>
      <c r="E116" t="s">
        <v>168</v>
      </c>
      <c r="F116" t="s">
        <v>18</v>
      </c>
      <c r="G116">
        <v>1</v>
      </c>
      <c r="H116" t="s">
        <v>136</v>
      </c>
      <c r="I116" t="s">
        <v>170</v>
      </c>
      <c r="J116" t="s">
        <v>19</v>
      </c>
      <c r="K116" t="s">
        <v>171</v>
      </c>
      <c r="L116" t="s">
        <v>172</v>
      </c>
    </row>
    <row r="117" spans="1:15" x14ac:dyDescent="0.2">
      <c r="A117">
        <v>113</v>
      </c>
      <c r="B117" t="s">
        <v>181</v>
      </c>
      <c r="C117" t="s">
        <v>167</v>
      </c>
      <c r="D117" t="s">
        <v>168</v>
      </c>
      <c r="E117" t="s">
        <v>168</v>
      </c>
      <c r="F117" t="s">
        <v>18</v>
      </c>
      <c r="G117">
        <v>1</v>
      </c>
      <c r="H117" t="s">
        <v>136</v>
      </c>
      <c r="I117" t="s">
        <v>170</v>
      </c>
      <c r="J117" t="s">
        <v>19</v>
      </c>
      <c r="K117" t="s">
        <v>171</v>
      </c>
      <c r="L117" t="s">
        <v>172</v>
      </c>
    </row>
    <row r="118" spans="1:15" x14ac:dyDescent="0.2">
      <c r="A118">
        <v>137</v>
      </c>
      <c r="B118" t="s">
        <v>182</v>
      </c>
      <c r="C118" t="s">
        <v>183</v>
      </c>
      <c r="D118" t="s">
        <v>184</v>
      </c>
      <c r="E118" t="s">
        <v>184</v>
      </c>
      <c r="F118" t="s">
        <v>40</v>
      </c>
      <c r="G118">
        <v>1</v>
      </c>
      <c r="H118" t="s">
        <v>136</v>
      </c>
      <c r="I118" t="s">
        <v>170</v>
      </c>
      <c r="J118" t="s">
        <v>19</v>
      </c>
      <c r="K118" t="s">
        <v>12</v>
      </c>
      <c r="L118" t="s">
        <v>13</v>
      </c>
    </row>
    <row r="119" spans="1:15" x14ac:dyDescent="0.2">
      <c r="A119">
        <v>114</v>
      </c>
      <c r="B119" t="s">
        <v>185</v>
      </c>
      <c r="C119" t="s">
        <v>167</v>
      </c>
      <c r="D119" t="s">
        <v>168</v>
      </c>
      <c r="E119" t="s">
        <v>168</v>
      </c>
      <c r="F119" t="s">
        <v>40</v>
      </c>
      <c r="G119">
        <v>1</v>
      </c>
      <c r="H119" t="s">
        <v>136</v>
      </c>
      <c r="I119" t="s">
        <v>170</v>
      </c>
      <c r="J119" t="s">
        <v>19</v>
      </c>
      <c r="K119" t="s">
        <v>171</v>
      </c>
      <c r="L119" t="s">
        <v>172</v>
      </c>
    </row>
    <row r="120" spans="1:15" x14ac:dyDescent="0.2">
      <c r="A120">
        <v>115</v>
      </c>
      <c r="B120" t="s">
        <v>186</v>
      </c>
      <c r="C120" t="s">
        <v>187</v>
      </c>
      <c r="D120" t="s">
        <v>188</v>
      </c>
      <c r="E120" t="s">
        <v>188</v>
      </c>
      <c r="F120" t="s">
        <v>40</v>
      </c>
      <c r="G120">
        <v>1</v>
      </c>
      <c r="H120" t="s">
        <v>136</v>
      </c>
      <c r="I120" t="s">
        <v>170</v>
      </c>
      <c r="J120" t="s">
        <v>19</v>
      </c>
      <c r="K120" t="s">
        <v>189</v>
      </c>
      <c r="L120" t="s">
        <v>189</v>
      </c>
    </row>
    <row r="121" spans="1:15" x14ac:dyDescent="0.2">
      <c r="A121">
        <v>116</v>
      </c>
      <c r="B121" t="s">
        <v>190</v>
      </c>
      <c r="C121" t="s">
        <v>187</v>
      </c>
      <c r="D121" t="s">
        <v>188</v>
      </c>
      <c r="E121" t="s">
        <v>188</v>
      </c>
      <c r="F121" t="s">
        <v>18</v>
      </c>
      <c r="G121">
        <v>1</v>
      </c>
      <c r="H121" t="s">
        <v>136</v>
      </c>
      <c r="I121" t="s">
        <v>170</v>
      </c>
      <c r="J121" t="s">
        <v>19</v>
      </c>
      <c r="K121" t="s">
        <v>189</v>
      </c>
      <c r="L121" t="s">
        <v>189</v>
      </c>
    </row>
    <row r="122" spans="1:15" x14ac:dyDescent="0.2">
      <c r="A122">
        <v>138</v>
      </c>
      <c r="B122" t="s">
        <v>191</v>
      </c>
      <c r="C122" t="s">
        <v>183</v>
      </c>
      <c r="D122" t="s">
        <v>184</v>
      </c>
      <c r="E122" t="s">
        <v>192</v>
      </c>
      <c r="F122" t="s">
        <v>40</v>
      </c>
      <c r="G122">
        <v>1</v>
      </c>
      <c r="H122" t="s">
        <v>136</v>
      </c>
      <c r="I122" t="s">
        <v>170</v>
      </c>
      <c r="J122" t="s">
        <v>19</v>
      </c>
      <c r="K122" t="s">
        <v>12</v>
      </c>
      <c r="L122" t="s">
        <v>13</v>
      </c>
    </row>
    <row r="123" spans="1:15" x14ac:dyDescent="0.2">
      <c r="A123">
        <v>117</v>
      </c>
      <c r="B123" t="s">
        <v>193</v>
      </c>
      <c r="C123" t="s">
        <v>167</v>
      </c>
      <c r="D123" t="s">
        <v>168</v>
      </c>
      <c r="E123" t="s">
        <v>168</v>
      </c>
      <c r="F123" t="s">
        <v>40</v>
      </c>
      <c r="G123">
        <v>1</v>
      </c>
      <c r="H123" t="s">
        <v>136</v>
      </c>
      <c r="I123" t="s">
        <v>170</v>
      </c>
      <c r="J123" t="s">
        <v>19</v>
      </c>
      <c r="K123" t="s">
        <v>171</v>
      </c>
      <c r="L123" t="s">
        <v>172</v>
      </c>
    </row>
    <row r="124" spans="1:15" x14ac:dyDescent="0.2">
      <c r="A124">
        <v>118</v>
      </c>
      <c r="B124" t="s">
        <v>194</v>
      </c>
      <c r="C124" t="s">
        <v>167</v>
      </c>
      <c r="D124" t="s">
        <v>168</v>
      </c>
      <c r="E124" t="s">
        <v>168</v>
      </c>
      <c r="F124" t="s">
        <v>40</v>
      </c>
      <c r="G124">
        <v>1</v>
      </c>
      <c r="H124" t="s">
        <v>136</v>
      </c>
      <c r="I124" t="s">
        <v>170</v>
      </c>
      <c r="J124" t="s">
        <v>19</v>
      </c>
      <c r="K124" t="s">
        <v>171</v>
      </c>
      <c r="L124" t="s">
        <v>172</v>
      </c>
    </row>
    <row r="125" spans="1:15" x14ac:dyDescent="0.2">
      <c r="A125">
        <v>119</v>
      </c>
      <c r="B125" t="s">
        <v>195</v>
      </c>
      <c r="C125" t="s">
        <v>167</v>
      </c>
      <c r="D125" t="s">
        <v>168</v>
      </c>
      <c r="E125" t="s">
        <v>168</v>
      </c>
      <c r="F125" t="s">
        <v>18</v>
      </c>
      <c r="G125">
        <v>1</v>
      </c>
      <c r="H125" t="s">
        <v>136</v>
      </c>
      <c r="I125" t="s">
        <v>170</v>
      </c>
      <c r="J125" t="s">
        <v>19</v>
      </c>
      <c r="K125" t="s">
        <v>171</v>
      </c>
      <c r="L125" t="s">
        <v>172</v>
      </c>
    </row>
    <row r="126" spans="1:15" x14ac:dyDescent="0.2">
      <c r="A126">
        <v>120</v>
      </c>
      <c r="B126" t="s">
        <v>196</v>
      </c>
      <c r="C126" t="s">
        <v>167</v>
      </c>
      <c r="D126" t="s">
        <v>168</v>
      </c>
      <c r="E126" t="s">
        <v>168</v>
      </c>
      <c r="F126" t="s">
        <v>40</v>
      </c>
      <c r="G126">
        <v>1</v>
      </c>
      <c r="H126" t="s">
        <v>136</v>
      </c>
      <c r="I126" t="s">
        <v>170</v>
      </c>
      <c r="J126" t="s">
        <v>19</v>
      </c>
      <c r="K126" t="s">
        <v>171</v>
      </c>
      <c r="L126" t="s">
        <v>172</v>
      </c>
    </row>
    <row r="127" spans="1:15" x14ac:dyDescent="0.2">
      <c r="A127">
        <v>124</v>
      </c>
      <c r="B127" t="s">
        <v>197</v>
      </c>
      <c r="C127" t="s">
        <v>198</v>
      </c>
      <c r="D127" t="s">
        <v>199</v>
      </c>
      <c r="E127" t="s">
        <v>199</v>
      </c>
      <c r="F127" t="s">
        <v>40</v>
      </c>
      <c r="G127">
        <v>1</v>
      </c>
      <c r="H127" t="s">
        <v>136</v>
      </c>
      <c r="I127" t="s">
        <v>170</v>
      </c>
      <c r="J127" t="s">
        <v>19</v>
      </c>
      <c r="K127" t="s">
        <v>12</v>
      </c>
      <c r="L127" t="s">
        <v>13</v>
      </c>
    </row>
    <row r="128" spans="1:15" x14ac:dyDescent="0.2">
      <c r="A128">
        <v>125</v>
      </c>
      <c r="B128" t="s">
        <v>200</v>
      </c>
      <c r="C128" t="s">
        <v>198</v>
      </c>
      <c r="D128" t="s">
        <v>199</v>
      </c>
      <c r="E128" t="s">
        <v>199</v>
      </c>
      <c r="F128" t="s">
        <v>40</v>
      </c>
      <c r="G128">
        <v>1</v>
      </c>
      <c r="H128" t="s">
        <v>136</v>
      </c>
      <c r="I128" t="s">
        <v>170</v>
      </c>
      <c r="J128" t="s">
        <v>19</v>
      </c>
      <c r="K128" t="s">
        <v>12</v>
      </c>
      <c r="L128" t="s">
        <v>13</v>
      </c>
    </row>
    <row r="129" spans="1:12" x14ac:dyDescent="0.2">
      <c r="A129">
        <v>126</v>
      </c>
      <c r="B129" t="s">
        <v>201</v>
      </c>
      <c r="C129" t="s">
        <v>198</v>
      </c>
      <c r="D129" t="s">
        <v>199</v>
      </c>
      <c r="E129" t="s">
        <v>199</v>
      </c>
      <c r="F129" t="s">
        <v>18</v>
      </c>
      <c r="G129">
        <v>1</v>
      </c>
      <c r="H129" t="s">
        <v>136</v>
      </c>
      <c r="I129" t="s">
        <v>170</v>
      </c>
      <c r="J129" t="s">
        <v>19</v>
      </c>
      <c r="K129" t="s">
        <v>12</v>
      </c>
      <c r="L129" t="s">
        <v>13</v>
      </c>
    </row>
    <row r="130" spans="1:12" x14ac:dyDescent="0.2">
      <c r="A130">
        <v>127</v>
      </c>
      <c r="B130" t="s">
        <v>202</v>
      </c>
      <c r="C130" t="s">
        <v>198</v>
      </c>
      <c r="D130" t="s">
        <v>199</v>
      </c>
      <c r="E130" t="s">
        <v>199</v>
      </c>
      <c r="F130" t="s">
        <v>40</v>
      </c>
      <c r="G130">
        <v>1</v>
      </c>
      <c r="H130" t="s">
        <v>136</v>
      </c>
      <c r="I130" t="s">
        <v>170</v>
      </c>
      <c r="J130" t="s">
        <v>19</v>
      </c>
      <c r="K130" t="s">
        <v>12</v>
      </c>
      <c r="L130" t="s">
        <v>13</v>
      </c>
    </row>
    <row r="131" spans="1:12" x14ac:dyDescent="0.2">
      <c r="A131">
        <v>128</v>
      </c>
      <c r="B131" t="s">
        <v>203</v>
      </c>
      <c r="C131" t="s">
        <v>198</v>
      </c>
      <c r="D131" t="s">
        <v>199</v>
      </c>
      <c r="E131" t="s">
        <v>199</v>
      </c>
      <c r="F131" t="s">
        <v>18</v>
      </c>
      <c r="G131">
        <v>1</v>
      </c>
      <c r="H131" t="s">
        <v>136</v>
      </c>
      <c r="I131" t="s">
        <v>170</v>
      </c>
      <c r="J131" t="s">
        <v>19</v>
      </c>
      <c r="K131" t="s">
        <v>12</v>
      </c>
      <c r="L131" t="s">
        <v>13</v>
      </c>
    </row>
    <row r="132" spans="1:12" x14ac:dyDescent="0.2">
      <c r="A132">
        <v>129</v>
      </c>
      <c r="B132" t="s">
        <v>204</v>
      </c>
      <c r="C132" t="s">
        <v>198</v>
      </c>
      <c r="D132" t="s">
        <v>199</v>
      </c>
      <c r="E132" t="s">
        <v>199</v>
      </c>
      <c r="F132" t="s">
        <v>40</v>
      </c>
      <c r="G132">
        <v>1</v>
      </c>
      <c r="H132" t="s">
        <v>136</v>
      </c>
      <c r="I132" t="s">
        <v>170</v>
      </c>
      <c r="J132" t="s">
        <v>19</v>
      </c>
      <c r="K132" t="s">
        <v>12</v>
      </c>
      <c r="L132" t="s">
        <v>13</v>
      </c>
    </row>
    <row r="133" spans="1:12" x14ac:dyDescent="0.2">
      <c r="A133">
        <v>121</v>
      </c>
      <c r="B133" t="s">
        <v>205</v>
      </c>
      <c r="C133" t="s">
        <v>15</v>
      </c>
      <c r="D133" t="s">
        <v>15</v>
      </c>
      <c r="E133" t="s">
        <v>15</v>
      </c>
      <c r="F133" t="s">
        <v>18</v>
      </c>
      <c r="G133">
        <v>1</v>
      </c>
      <c r="H133" t="s">
        <v>136</v>
      </c>
      <c r="I133" t="s">
        <v>170</v>
      </c>
      <c r="J133" t="s">
        <v>19</v>
      </c>
      <c r="K133" t="s">
        <v>171</v>
      </c>
      <c r="L133" t="s">
        <v>206</v>
      </c>
    </row>
    <row r="134" spans="1:12" x14ac:dyDescent="0.2">
      <c r="A134">
        <v>122</v>
      </c>
      <c r="B134" t="s">
        <v>207</v>
      </c>
      <c r="C134" t="s">
        <v>15</v>
      </c>
      <c r="D134" t="s">
        <v>15</v>
      </c>
      <c r="E134" t="s">
        <v>15</v>
      </c>
      <c r="F134" t="s">
        <v>40</v>
      </c>
      <c r="G134">
        <v>1</v>
      </c>
      <c r="H134" t="s">
        <v>136</v>
      </c>
      <c r="I134" t="s">
        <v>170</v>
      </c>
      <c r="J134" t="s">
        <v>19</v>
      </c>
      <c r="K134" t="s">
        <v>171</v>
      </c>
      <c r="L134" t="s">
        <v>206</v>
      </c>
    </row>
    <row r="135" spans="1:12" x14ac:dyDescent="0.2">
      <c r="A135">
        <v>123</v>
      </c>
      <c r="B135" t="s">
        <v>208</v>
      </c>
      <c r="C135" t="s">
        <v>15</v>
      </c>
      <c r="D135" t="s">
        <v>15</v>
      </c>
      <c r="E135" t="s">
        <v>15</v>
      </c>
      <c r="F135" t="s">
        <v>18</v>
      </c>
      <c r="G135">
        <v>1</v>
      </c>
      <c r="H135" t="s">
        <v>136</v>
      </c>
      <c r="I135" t="s">
        <v>170</v>
      </c>
      <c r="J135" t="s">
        <v>19</v>
      </c>
      <c r="K135" t="s">
        <v>171</v>
      </c>
      <c r="L135" t="s">
        <v>206</v>
      </c>
    </row>
    <row r="136" spans="1:12" x14ac:dyDescent="0.2">
      <c r="A136">
        <v>130</v>
      </c>
      <c r="B136" t="s">
        <v>209</v>
      </c>
      <c r="C136" t="s">
        <v>142</v>
      </c>
      <c r="D136" t="s">
        <v>142</v>
      </c>
      <c r="E136" t="s">
        <v>142</v>
      </c>
      <c r="F136" t="s">
        <v>210</v>
      </c>
      <c r="G136">
        <v>1</v>
      </c>
      <c r="H136" t="s">
        <v>136</v>
      </c>
      <c r="I136" t="s">
        <v>170</v>
      </c>
      <c r="J136" t="s">
        <v>19</v>
      </c>
      <c r="K136" t="s">
        <v>1</v>
      </c>
      <c r="L136" t="s">
        <v>145</v>
      </c>
    </row>
    <row r="137" spans="1:12" x14ac:dyDescent="0.2">
      <c r="A137">
        <v>131</v>
      </c>
      <c r="B137" t="s">
        <v>211</v>
      </c>
      <c r="C137" t="s">
        <v>142</v>
      </c>
      <c r="D137" t="s">
        <v>142</v>
      </c>
      <c r="E137" t="s">
        <v>142</v>
      </c>
      <c r="F137" t="s">
        <v>212</v>
      </c>
      <c r="G137">
        <v>1</v>
      </c>
      <c r="H137" t="s">
        <v>136</v>
      </c>
      <c r="I137" t="s">
        <v>170</v>
      </c>
      <c r="J137" t="s">
        <v>19</v>
      </c>
      <c r="K137" t="s">
        <v>1</v>
      </c>
      <c r="L137" t="s">
        <v>145</v>
      </c>
    </row>
    <row r="138" spans="1:12" x14ac:dyDescent="0.2">
      <c r="A138">
        <v>132</v>
      </c>
      <c r="B138" t="s">
        <v>213</v>
      </c>
      <c r="C138" t="s">
        <v>142</v>
      </c>
      <c r="D138" t="s">
        <v>142</v>
      </c>
      <c r="E138" t="s">
        <v>142</v>
      </c>
      <c r="F138" t="s">
        <v>214</v>
      </c>
      <c r="G138">
        <v>1</v>
      </c>
      <c r="H138" t="s">
        <v>136</v>
      </c>
      <c r="I138" t="s">
        <v>170</v>
      </c>
      <c r="J138" t="s">
        <v>19</v>
      </c>
      <c r="K138" t="s">
        <v>1</v>
      </c>
      <c r="L138" t="s">
        <v>145</v>
      </c>
    </row>
    <row r="139" spans="1:12" x14ac:dyDescent="0.2">
      <c r="A139">
        <v>133</v>
      </c>
      <c r="B139" t="s">
        <v>215</v>
      </c>
      <c r="C139" t="s">
        <v>142</v>
      </c>
      <c r="D139" t="s">
        <v>142</v>
      </c>
      <c r="E139" t="s">
        <v>142</v>
      </c>
      <c r="F139" t="s">
        <v>216</v>
      </c>
      <c r="G139">
        <v>1</v>
      </c>
      <c r="H139" t="s">
        <v>136</v>
      </c>
      <c r="I139" t="s">
        <v>170</v>
      </c>
      <c r="J139" t="s">
        <v>19</v>
      </c>
      <c r="K139" t="s">
        <v>1</v>
      </c>
      <c r="L139" t="s">
        <v>145</v>
      </c>
    </row>
    <row r="140" spans="1:12" x14ac:dyDescent="0.2">
      <c r="A140">
        <v>134</v>
      </c>
      <c r="B140" t="s">
        <v>217</v>
      </c>
      <c r="C140" t="s">
        <v>142</v>
      </c>
      <c r="D140" t="s">
        <v>142</v>
      </c>
      <c r="E140" t="s">
        <v>142</v>
      </c>
      <c r="F140" t="s">
        <v>218</v>
      </c>
      <c r="G140">
        <v>1</v>
      </c>
      <c r="H140" t="s">
        <v>136</v>
      </c>
      <c r="I140" t="s">
        <v>170</v>
      </c>
      <c r="J140" t="s">
        <v>19</v>
      </c>
      <c r="K140" t="s">
        <v>1</v>
      </c>
      <c r="L140" t="s">
        <v>145</v>
      </c>
    </row>
    <row r="141" spans="1:12" x14ac:dyDescent="0.2">
      <c r="A141">
        <v>139</v>
      </c>
      <c r="B141" t="s">
        <v>219</v>
      </c>
      <c r="C141" t="s">
        <v>167</v>
      </c>
      <c r="D141" t="s">
        <v>168</v>
      </c>
      <c r="E141" t="s">
        <v>168</v>
      </c>
      <c r="F141" t="s">
        <v>32</v>
      </c>
      <c r="G141" t="s">
        <v>3</v>
      </c>
      <c r="H141" t="s">
        <v>4</v>
      </c>
      <c r="I141" t="s">
        <v>170</v>
      </c>
      <c r="J141" t="s">
        <v>6</v>
      </c>
      <c r="K141" t="s">
        <v>171</v>
      </c>
      <c r="L141" t="s">
        <v>3</v>
      </c>
    </row>
    <row r="142" spans="1:12" x14ac:dyDescent="0.2">
      <c r="A142">
        <v>140</v>
      </c>
      <c r="B142" t="s">
        <v>220</v>
      </c>
      <c r="C142" t="s">
        <v>221</v>
      </c>
      <c r="D142" t="s">
        <v>222</v>
      </c>
      <c r="E142" t="s">
        <v>222</v>
      </c>
      <c r="F142" t="s">
        <v>18</v>
      </c>
      <c r="G142">
        <v>1</v>
      </c>
      <c r="H142" t="s">
        <v>4</v>
      </c>
      <c r="I142" t="s">
        <v>170</v>
      </c>
      <c r="J142" t="s">
        <v>19</v>
      </c>
      <c r="K142" t="s">
        <v>171</v>
      </c>
      <c r="L142" t="s">
        <v>206</v>
      </c>
    </row>
    <row r="143" spans="1:12" x14ac:dyDescent="0.2">
      <c r="A143">
        <v>141</v>
      </c>
      <c r="B143" t="s">
        <v>223</v>
      </c>
      <c r="C143" t="s">
        <v>198</v>
      </c>
      <c r="D143" t="s">
        <v>199</v>
      </c>
      <c r="E143" t="s">
        <v>199</v>
      </c>
      <c r="F143" t="s">
        <v>18</v>
      </c>
      <c r="G143">
        <v>2</v>
      </c>
      <c r="H143" t="s">
        <v>4</v>
      </c>
      <c r="I143" t="s">
        <v>170</v>
      </c>
      <c r="J143" t="s">
        <v>19</v>
      </c>
      <c r="K143" t="s">
        <v>12</v>
      </c>
      <c r="L143" t="s">
        <v>13</v>
      </c>
    </row>
    <row r="144" spans="1:12" x14ac:dyDescent="0.2">
      <c r="A144">
        <v>142</v>
      </c>
      <c r="B144" t="s">
        <v>224</v>
      </c>
      <c r="C144" t="s">
        <v>167</v>
      </c>
      <c r="D144" t="s">
        <v>168</v>
      </c>
      <c r="E144" t="s">
        <v>168</v>
      </c>
      <c r="F144" t="s">
        <v>32</v>
      </c>
      <c r="G144" t="s">
        <v>3</v>
      </c>
      <c r="H144" t="s">
        <v>4</v>
      </c>
      <c r="I144" t="s">
        <v>170</v>
      </c>
      <c r="J144" t="s">
        <v>6</v>
      </c>
      <c r="K144" t="s">
        <v>171</v>
      </c>
      <c r="L144" t="s">
        <v>3</v>
      </c>
    </row>
    <row r="145" spans="1:12" x14ac:dyDescent="0.2">
      <c r="A145">
        <v>143</v>
      </c>
      <c r="B145" t="s">
        <v>225</v>
      </c>
      <c r="C145" t="s">
        <v>167</v>
      </c>
      <c r="D145" t="s">
        <v>168</v>
      </c>
      <c r="E145" t="s">
        <v>168</v>
      </c>
      <c r="F145" t="s">
        <v>32</v>
      </c>
      <c r="G145" t="s">
        <v>3</v>
      </c>
      <c r="H145" t="s">
        <v>4</v>
      </c>
      <c r="I145" t="s">
        <v>170</v>
      </c>
      <c r="J145" t="s">
        <v>6</v>
      </c>
      <c r="K145" t="s">
        <v>171</v>
      </c>
      <c r="L145" t="s">
        <v>3</v>
      </c>
    </row>
    <row r="146" spans="1:12" x14ac:dyDescent="0.2">
      <c r="A146">
        <v>144</v>
      </c>
      <c r="B146" t="s">
        <v>226</v>
      </c>
      <c r="C146" t="s">
        <v>227</v>
      </c>
      <c r="D146" t="s">
        <v>127</v>
      </c>
      <c r="E146" t="s">
        <v>127</v>
      </c>
      <c r="F146" t="s">
        <v>18</v>
      </c>
      <c r="G146" t="s">
        <v>3</v>
      </c>
      <c r="H146" t="s">
        <v>4</v>
      </c>
      <c r="I146" t="s">
        <v>170</v>
      </c>
      <c r="J146" t="s">
        <v>19</v>
      </c>
      <c r="K146" t="s">
        <v>127</v>
      </c>
      <c r="L146" t="s">
        <v>3</v>
      </c>
    </row>
    <row r="147" spans="1:12" x14ac:dyDescent="0.2">
      <c r="A147">
        <v>145</v>
      </c>
      <c r="B147" t="s">
        <v>228</v>
      </c>
      <c r="C147" t="s">
        <v>227</v>
      </c>
      <c r="D147" t="s">
        <v>127</v>
      </c>
      <c r="E147" t="s">
        <v>127</v>
      </c>
      <c r="F147" t="s">
        <v>18</v>
      </c>
      <c r="G147" t="s">
        <v>3</v>
      </c>
      <c r="H147" t="s">
        <v>4</v>
      </c>
      <c r="I147" t="s">
        <v>170</v>
      </c>
      <c r="J147" t="s">
        <v>19</v>
      </c>
      <c r="K147" t="s">
        <v>127</v>
      </c>
      <c r="L147" t="s">
        <v>3</v>
      </c>
    </row>
    <row r="148" spans="1:12" x14ac:dyDescent="0.2">
      <c r="A148">
        <v>146</v>
      </c>
      <c r="B148" t="s">
        <v>229</v>
      </c>
      <c r="C148" t="s">
        <v>227</v>
      </c>
      <c r="D148" t="s">
        <v>127</v>
      </c>
      <c r="E148" t="s">
        <v>127</v>
      </c>
      <c r="F148" t="s">
        <v>18</v>
      </c>
      <c r="G148" t="s">
        <v>3</v>
      </c>
      <c r="H148" t="s">
        <v>4</v>
      </c>
      <c r="I148" t="s">
        <v>170</v>
      </c>
      <c r="J148" t="s">
        <v>19</v>
      </c>
      <c r="K148" t="s">
        <v>127</v>
      </c>
      <c r="L148" t="s">
        <v>3</v>
      </c>
    </row>
    <row r="149" spans="1:12" x14ac:dyDescent="0.2">
      <c r="A149">
        <v>147</v>
      </c>
      <c r="B149" t="s">
        <v>230</v>
      </c>
      <c r="C149" t="s">
        <v>183</v>
      </c>
      <c r="D149" t="s">
        <v>184</v>
      </c>
      <c r="E149" t="s">
        <v>184</v>
      </c>
      <c r="F149" t="s">
        <v>127</v>
      </c>
      <c r="G149" t="s">
        <v>3</v>
      </c>
      <c r="H149" t="s">
        <v>136</v>
      </c>
      <c r="I149" t="s">
        <v>170</v>
      </c>
      <c r="J149" t="s">
        <v>19</v>
      </c>
      <c r="K149" t="s">
        <v>12</v>
      </c>
      <c r="L149" t="s">
        <v>13</v>
      </c>
    </row>
    <row r="150" spans="1:12" x14ac:dyDescent="0.2">
      <c r="A150">
        <v>148</v>
      </c>
      <c r="B150" t="s">
        <v>231</v>
      </c>
      <c r="C150" t="s">
        <v>183</v>
      </c>
      <c r="D150" t="s">
        <v>184</v>
      </c>
      <c r="E150" t="s">
        <v>184</v>
      </c>
      <c r="F150" t="s">
        <v>127</v>
      </c>
      <c r="G150" t="s">
        <v>3</v>
      </c>
      <c r="H150" t="s">
        <v>136</v>
      </c>
      <c r="I150" t="s">
        <v>170</v>
      </c>
      <c r="J150" t="s">
        <v>19</v>
      </c>
      <c r="K150" t="s">
        <v>12</v>
      </c>
      <c r="L150" t="s">
        <v>13</v>
      </c>
    </row>
    <row r="151" spans="1:12" x14ac:dyDescent="0.2">
      <c r="A151">
        <v>149</v>
      </c>
      <c r="B151" t="s">
        <v>232</v>
      </c>
      <c r="C151" t="s">
        <v>15</v>
      </c>
      <c r="D151" t="s">
        <v>15</v>
      </c>
      <c r="E151" t="s">
        <v>15</v>
      </c>
      <c r="F151" t="s">
        <v>233</v>
      </c>
      <c r="G151" t="s">
        <v>3</v>
      </c>
      <c r="H151" t="s">
        <v>136</v>
      </c>
      <c r="I151" t="s">
        <v>170</v>
      </c>
      <c r="J151" t="s">
        <v>19</v>
      </c>
      <c r="K151" t="s">
        <v>171</v>
      </c>
      <c r="L151" t="s">
        <v>206</v>
      </c>
    </row>
    <row r="152" spans="1:12" x14ac:dyDescent="0.2">
      <c r="A152">
        <v>150</v>
      </c>
      <c r="B152" t="s">
        <v>234</v>
      </c>
      <c r="C152" t="s">
        <v>142</v>
      </c>
      <c r="D152" t="s">
        <v>142</v>
      </c>
      <c r="E152" t="s">
        <v>142</v>
      </c>
      <c r="F152" t="s">
        <v>32</v>
      </c>
      <c r="G152" t="s">
        <v>3</v>
      </c>
      <c r="H152" t="s">
        <v>139</v>
      </c>
      <c r="I152" t="s">
        <v>170</v>
      </c>
      <c r="J152" t="s">
        <v>6</v>
      </c>
      <c r="K152" t="s">
        <v>1</v>
      </c>
      <c r="L152" t="s">
        <v>3</v>
      </c>
    </row>
    <row r="153" spans="1:12" x14ac:dyDescent="0.2">
      <c r="A153">
        <v>151</v>
      </c>
      <c r="B153" t="s">
        <v>235</v>
      </c>
      <c r="C153" t="s">
        <v>236</v>
      </c>
      <c r="D153" t="s">
        <v>236</v>
      </c>
      <c r="E153" t="s">
        <v>236</v>
      </c>
      <c r="F153" t="s">
        <v>169</v>
      </c>
      <c r="G153" t="s">
        <v>3</v>
      </c>
      <c r="H153" t="s">
        <v>139</v>
      </c>
      <c r="I153" t="s">
        <v>170</v>
      </c>
      <c r="J153" t="s">
        <v>6</v>
      </c>
      <c r="K153" t="s">
        <v>171</v>
      </c>
      <c r="L153" t="s">
        <v>3</v>
      </c>
    </row>
    <row r="154" spans="1:12" x14ac:dyDescent="0.2">
      <c r="A154">
        <v>152</v>
      </c>
      <c r="B154" t="s">
        <v>237</v>
      </c>
      <c r="C154" t="s">
        <v>236</v>
      </c>
      <c r="D154" t="s">
        <v>236</v>
      </c>
      <c r="E154" t="s">
        <v>236</v>
      </c>
      <c r="F154" t="s">
        <v>169</v>
      </c>
      <c r="G154" t="s">
        <v>3</v>
      </c>
      <c r="H154" t="s">
        <v>4</v>
      </c>
      <c r="I154" t="s">
        <v>170</v>
      </c>
      <c r="J154" t="s">
        <v>6</v>
      </c>
      <c r="K154" t="s">
        <v>171</v>
      </c>
      <c r="L154" t="s">
        <v>3</v>
      </c>
    </row>
    <row r="155" spans="1:12" x14ac:dyDescent="0.2">
      <c r="A155">
        <v>153</v>
      </c>
      <c r="B155" t="s">
        <v>237</v>
      </c>
      <c r="C155" t="s">
        <v>236</v>
      </c>
      <c r="D155" t="s">
        <v>236</v>
      </c>
      <c r="E155" t="s">
        <v>236</v>
      </c>
      <c r="F155" t="s">
        <v>169</v>
      </c>
      <c r="G155" t="s">
        <v>3</v>
      </c>
      <c r="H155" t="s">
        <v>136</v>
      </c>
      <c r="I155" t="s">
        <v>170</v>
      </c>
      <c r="J155" t="s">
        <v>6</v>
      </c>
      <c r="K155" t="s">
        <v>171</v>
      </c>
      <c r="L155" t="s">
        <v>3</v>
      </c>
    </row>
    <row r="156" spans="1:12" x14ac:dyDescent="0.2">
      <c r="A156">
        <v>154</v>
      </c>
      <c r="B156" t="s">
        <v>238</v>
      </c>
      <c r="C156" t="s">
        <v>236</v>
      </c>
      <c r="D156" t="s">
        <v>236</v>
      </c>
      <c r="E156" t="s">
        <v>236</v>
      </c>
      <c r="F156" t="s">
        <v>32</v>
      </c>
      <c r="G156" t="s">
        <v>3</v>
      </c>
      <c r="H156" t="s">
        <v>139</v>
      </c>
      <c r="I156" t="s">
        <v>170</v>
      </c>
      <c r="J156" t="s">
        <v>6</v>
      </c>
      <c r="K156" t="s">
        <v>171</v>
      </c>
      <c r="L156" t="s">
        <v>3</v>
      </c>
    </row>
    <row r="157" spans="1:12" x14ac:dyDescent="0.2">
      <c r="A157">
        <v>155</v>
      </c>
      <c r="B157" t="s">
        <v>239</v>
      </c>
      <c r="C157" t="s">
        <v>236</v>
      </c>
      <c r="D157" t="s">
        <v>236</v>
      </c>
      <c r="E157" t="s">
        <v>236</v>
      </c>
      <c r="F157" t="s">
        <v>32</v>
      </c>
      <c r="G157" t="s">
        <v>3</v>
      </c>
      <c r="H157" t="s">
        <v>136</v>
      </c>
      <c r="I157" t="s">
        <v>170</v>
      </c>
      <c r="J157" t="s">
        <v>6</v>
      </c>
      <c r="K157" t="s">
        <v>171</v>
      </c>
      <c r="L157" t="s">
        <v>3</v>
      </c>
    </row>
    <row r="158" spans="1:12" x14ac:dyDescent="0.2">
      <c r="A158">
        <v>156</v>
      </c>
      <c r="B158" t="s">
        <v>240</v>
      </c>
      <c r="C158" t="s">
        <v>236</v>
      </c>
      <c r="D158" t="s">
        <v>236</v>
      </c>
      <c r="E158" t="s">
        <v>236</v>
      </c>
      <c r="F158" t="s">
        <v>32</v>
      </c>
      <c r="G158" t="s">
        <v>3</v>
      </c>
      <c r="H158" t="s">
        <v>4</v>
      </c>
      <c r="I158" t="s">
        <v>170</v>
      </c>
      <c r="J158" t="s">
        <v>6</v>
      </c>
      <c r="K158" t="s">
        <v>171</v>
      </c>
      <c r="L158" t="s">
        <v>3</v>
      </c>
    </row>
    <row r="159" spans="1:12" x14ac:dyDescent="0.2">
      <c r="A159">
        <v>157</v>
      </c>
      <c r="B159" t="s">
        <v>241</v>
      </c>
      <c r="C159" t="s">
        <v>236</v>
      </c>
      <c r="D159" t="s">
        <v>236</v>
      </c>
      <c r="E159" t="s">
        <v>236</v>
      </c>
      <c r="F159" t="s">
        <v>32</v>
      </c>
      <c r="G159" t="s">
        <v>3</v>
      </c>
      <c r="H159" t="s">
        <v>136</v>
      </c>
      <c r="I159" t="s">
        <v>170</v>
      </c>
      <c r="J159" t="s">
        <v>6</v>
      </c>
      <c r="K159" t="s">
        <v>171</v>
      </c>
      <c r="L159" t="s">
        <v>3</v>
      </c>
    </row>
    <row r="160" spans="1:12" x14ac:dyDescent="0.2">
      <c r="A160">
        <v>158</v>
      </c>
      <c r="B160" t="s">
        <v>242</v>
      </c>
      <c r="C160" t="s">
        <v>236</v>
      </c>
      <c r="D160" t="s">
        <v>236</v>
      </c>
      <c r="E160" t="s">
        <v>236</v>
      </c>
      <c r="F160" t="s">
        <v>169</v>
      </c>
      <c r="G160" t="s">
        <v>3</v>
      </c>
      <c r="H160" t="s">
        <v>136</v>
      </c>
      <c r="I160" t="s">
        <v>170</v>
      </c>
      <c r="J160" t="s">
        <v>6</v>
      </c>
      <c r="K160" t="s">
        <v>171</v>
      </c>
      <c r="L160" t="s">
        <v>3</v>
      </c>
    </row>
    <row r="161" spans="1:12" x14ac:dyDescent="0.2">
      <c r="A161">
        <v>159</v>
      </c>
      <c r="B161" t="s">
        <v>243</v>
      </c>
      <c r="C161" t="s">
        <v>236</v>
      </c>
      <c r="D161" t="s">
        <v>236</v>
      </c>
      <c r="E161" t="s">
        <v>236</v>
      </c>
      <c r="F161" t="s">
        <v>1</v>
      </c>
      <c r="G161" t="s">
        <v>3</v>
      </c>
      <c r="H161" t="s">
        <v>136</v>
      </c>
      <c r="I161" t="s">
        <v>170</v>
      </c>
      <c r="J161" t="s">
        <v>6</v>
      </c>
      <c r="K161" t="s">
        <v>171</v>
      </c>
      <c r="L161" t="s">
        <v>3</v>
      </c>
    </row>
    <row r="162" spans="1:12" x14ac:dyDescent="0.2">
      <c r="A162">
        <v>160</v>
      </c>
      <c r="B162" t="s">
        <v>244</v>
      </c>
      <c r="C162" t="s">
        <v>236</v>
      </c>
      <c r="D162" t="s">
        <v>236</v>
      </c>
      <c r="E162" t="s">
        <v>236</v>
      </c>
      <c r="F162" t="s">
        <v>40</v>
      </c>
      <c r="G162">
        <v>1</v>
      </c>
      <c r="H162" t="s">
        <v>139</v>
      </c>
      <c r="I162" t="s">
        <v>170</v>
      </c>
      <c r="J162" t="s">
        <v>19</v>
      </c>
      <c r="K162" t="s">
        <v>171</v>
      </c>
      <c r="L162" t="s">
        <v>3</v>
      </c>
    </row>
    <row r="163" spans="1:12" x14ac:dyDescent="0.2">
      <c r="A163">
        <v>161</v>
      </c>
      <c r="B163" t="s">
        <v>245</v>
      </c>
      <c r="C163" t="s">
        <v>236</v>
      </c>
      <c r="D163" t="s">
        <v>236</v>
      </c>
      <c r="E163" t="s">
        <v>236</v>
      </c>
      <c r="F163" t="s">
        <v>40</v>
      </c>
      <c r="G163">
        <v>1</v>
      </c>
      <c r="H163" t="s">
        <v>136</v>
      </c>
      <c r="I163" t="s">
        <v>170</v>
      </c>
      <c r="J163" t="s">
        <v>19</v>
      </c>
      <c r="K163" t="s">
        <v>171</v>
      </c>
      <c r="L163" t="s">
        <v>172</v>
      </c>
    </row>
    <row r="164" spans="1:12" x14ac:dyDescent="0.2">
      <c r="A164">
        <v>162</v>
      </c>
      <c r="B164" t="s">
        <v>246</v>
      </c>
      <c r="C164" t="s">
        <v>236</v>
      </c>
      <c r="D164" t="s">
        <v>236</v>
      </c>
      <c r="E164" t="s">
        <v>236</v>
      </c>
      <c r="F164" t="s">
        <v>18</v>
      </c>
      <c r="G164">
        <v>1</v>
      </c>
      <c r="H164" t="s">
        <v>136</v>
      </c>
      <c r="I164" t="s">
        <v>170</v>
      </c>
      <c r="J164" t="s">
        <v>19</v>
      </c>
      <c r="K164" t="s">
        <v>171</v>
      </c>
      <c r="L164" t="s">
        <v>172</v>
      </c>
    </row>
    <row r="165" spans="1:12" x14ac:dyDescent="0.2">
      <c r="A165">
        <v>163</v>
      </c>
      <c r="B165" t="s">
        <v>247</v>
      </c>
      <c r="C165" t="s">
        <v>236</v>
      </c>
      <c r="D165" t="s">
        <v>236</v>
      </c>
      <c r="E165" t="s">
        <v>236</v>
      </c>
      <c r="F165" t="s">
        <v>40</v>
      </c>
      <c r="G165">
        <v>1</v>
      </c>
      <c r="H165" t="s">
        <v>4</v>
      </c>
      <c r="I165" t="s">
        <v>170</v>
      </c>
      <c r="J165" t="s">
        <v>19</v>
      </c>
      <c r="K165" t="s">
        <v>171</v>
      </c>
      <c r="L165" t="s">
        <v>172</v>
      </c>
    </row>
    <row r="166" spans="1:12" x14ac:dyDescent="0.2">
      <c r="A166">
        <v>164</v>
      </c>
      <c r="B166" t="s">
        <v>247</v>
      </c>
      <c r="C166" t="s">
        <v>236</v>
      </c>
      <c r="D166" t="s">
        <v>236</v>
      </c>
      <c r="E166" t="s">
        <v>236</v>
      </c>
      <c r="F166" t="s">
        <v>40</v>
      </c>
      <c r="G166">
        <v>1</v>
      </c>
      <c r="H166" t="s">
        <v>136</v>
      </c>
      <c r="I166" t="s">
        <v>170</v>
      </c>
      <c r="J166" t="s">
        <v>19</v>
      </c>
      <c r="K166" t="s">
        <v>171</v>
      </c>
      <c r="L166" t="s">
        <v>172</v>
      </c>
    </row>
    <row r="167" spans="1:12" x14ac:dyDescent="0.2">
      <c r="A167">
        <v>165</v>
      </c>
      <c r="B167" t="s">
        <v>248</v>
      </c>
      <c r="C167" t="s">
        <v>236</v>
      </c>
      <c r="D167" t="s">
        <v>236</v>
      </c>
      <c r="E167" t="s">
        <v>236</v>
      </c>
      <c r="F167" t="s">
        <v>18</v>
      </c>
      <c r="G167">
        <v>1</v>
      </c>
      <c r="H167" t="s">
        <v>136</v>
      </c>
      <c r="I167" t="s">
        <v>170</v>
      </c>
      <c r="J167" t="s">
        <v>19</v>
      </c>
      <c r="K167" t="s">
        <v>171</v>
      </c>
      <c r="L167" t="s">
        <v>172</v>
      </c>
    </row>
    <row r="168" spans="1:12" x14ac:dyDescent="0.2">
      <c r="A168">
        <v>166</v>
      </c>
      <c r="B168" t="s">
        <v>249</v>
      </c>
      <c r="C168" t="s">
        <v>236</v>
      </c>
      <c r="D168" t="s">
        <v>236</v>
      </c>
      <c r="E168" t="s">
        <v>236</v>
      </c>
      <c r="F168" t="s">
        <v>18</v>
      </c>
      <c r="G168">
        <v>1</v>
      </c>
      <c r="H168" t="s">
        <v>4</v>
      </c>
      <c r="I168" t="s">
        <v>170</v>
      </c>
      <c r="J168" t="s">
        <v>19</v>
      </c>
      <c r="K168" t="s">
        <v>171</v>
      </c>
      <c r="L168" t="s">
        <v>172</v>
      </c>
    </row>
    <row r="169" spans="1:12" x14ac:dyDescent="0.2">
      <c r="A169">
        <v>168</v>
      </c>
      <c r="B169" t="s">
        <v>250</v>
      </c>
      <c r="C169" t="s">
        <v>236</v>
      </c>
      <c r="D169" t="s">
        <v>236</v>
      </c>
      <c r="E169" t="s">
        <v>236</v>
      </c>
      <c r="F169" t="s">
        <v>40</v>
      </c>
      <c r="G169">
        <v>1</v>
      </c>
      <c r="H169" t="s">
        <v>4</v>
      </c>
      <c r="I169" t="s">
        <v>170</v>
      </c>
      <c r="J169" t="s">
        <v>19</v>
      </c>
      <c r="K169" t="s">
        <v>171</v>
      </c>
      <c r="L169" t="s">
        <v>172</v>
      </c>
    </row>
    <row r="170" spans="1:12" x14ac:dyDescent="0.2">
      <c r="A170">
        <v>169</v>
      </c>
      <c r="B170" t="s">
        <v>250</v>
      </c>
      <c r="C170" t="s">
        <v>236</v>
      </c>
      <c r="D170" t="s">
        <v>236</v>
      </c>
      <c r="E170" t="s">
        <v>236</v>
      </c>
      <c r="F170" t="s">
        <v>40</v>
      </c>
      <c r="G170">
        <v>1</v>
      </c>
      <c r="H170" t="s">
        <v>136</v>
      </c>
      <c r="I170" t="s">
        <v>170</v>
      </c>
      <c r="J170" t="s">
        <v>19</v>
      </c>
      <c r="K170" t="s">
        <v>171</v>
      </c>
      <c r="L170" t="s">
        <v>172</v>
      </c>
    </row>
    <row r="171" spans="1:12" x14ac:dyDescent="0.2">
      <c r="A171">
        <v>167</v>
      </c>
      <c r="B171" t="s">
        <v>251</v>
      </c>
      <c r="C171" t="s">
        <v>236</v>
      </c>
      <c r="D171" t="s">
        <v>236</v>
      </c>
      <c r="E171" t="s">
        <v>236</v>
      </c>
      <c r="F171" t="s">
        <v>18</v>
      </c>
      <c r="G171">
        <v>1</v>
      </c>
      <c r="H171" t="s">
        <v>4</v>
      </c>
      <c r="I171" t="s">
        <v>170</v>
      </c>
      <c r="J171" t="s">
        <v>19</v>
      </c>
      <c r="K171" t="s">
        <v>171</v>
      </c>
      <c r="L171" t="s">
        <v>172</v>
      </c>
    </row>
    <row r="172" spans="1:12" x14ac:dyDescent="0.2">
      <c r="A172">
        <v>170</v>
      </c>
      <c r="B172" t="s">
        <v>252</v>
      </c>
      <c r="C172" t="s">
        <v>236</v>
      </c>
      <c r="D172" t="s">
        <v>236</v>
      </c>
      <c r="E172" t="s">
        <v>236</v>
      </c>
      <c r="F172" t="s">
        <v>18</v>
      </c>
      <c r="G172">
        <v>1</v>
      </c>
      <c r="H172" t="s">
        <v>136</v>
      </c>
      <c r="I172" t="s">
        <v>170</v>
      </c>
      <c r="J172" t="s">
        <v>19</v>
      </c>
      <c r="K172" t="s">
        <v>171</v>
      </c>
      <c r="L172" t="s">
        <v>172</v>
      </c>
    </row>
    <row r="173" spans="1:12" x14ac:dyDescent="0.2">
      <c r="A173">
        <v>172</v>
      </c>
      <c r="B173" t="s">
        <v>253</v>
      </c>
      <c r="C173" t="s">
        <v>167</v>
      </c>
      <c r="D173" t="s">
        <v>168</v>
      </c>
      <c r="E173" t="s">
        <v>168</v>
      </c>
      <c r="F173" t="s">
        <v>169</v>
      </c>
      <c r="G173" t="s">
        <v>3</v>
      </c>
      <c r="H173" t="s">
        <v>139</v>
      </c>
      <c r="I173" t="s">
        <v>170</v>
      </c>
      <c r="J173" t="s">
        <v>6</v>
      </c>
      <c r="K173" t="s">
        <v>171</v>
      </c>
      <c r="L173" t="s">
        <v>3</v>
      </c>
    </row>
    <row r="174" spans="1:12" x14ac:dyDescent="0.2">
      <c r="A174">
        <v>173</v>
      </c>
      <c r="B174" t="s">
        <v>254</v>
      </c>
      <c r="C174" t="s">
        <v>167</v>
      </c>
      <c r="D174" t="s">
        <v>168</v>
      </c>
      <c r="E174" t="s">
        <v>168</v>
      </c>
      <c r="F174" t="s">
        <v>32</v>
      </c>
      <c r="G174" t="s">
        <v>3</v>
      </c>
      <c r="H174" t="s">
        <v>139</v>
      </c>
      <c r="I174" t="s">
        <v>170</v>
      </c>
      <c r="J174" t="s">
        <v>6</v>
      </c>
      <c r="K174" t="s">
        <v>171</v>
      </c>
      <c r="L174" t="s">
        <v>3</v>
      </c>
    </row>
    <row r="175" spans="1:12" x14ac:dyDescent="0.2">
      <c r="A175">
        <v>174</v>
      </c>
      <c r="B175" t="s">
        <v>255</v>
      </c>
      <c r="C175" t="s">
        <v>167</v>
      </c>
      <c r="D175" t="s">
        <v>168</v>
      </c>
      <c r="E175" t="s">
        <v>168</v>
      </c>
      <c r="F175" t="s">
        <v>32</v>
      </c>
      <c r="G175" t="s">
        <v>3</v>
      </c>
      <c r="H175" t="s">
        <v>136</v>
      </c>
      <c r="I175" t="s">
        <v>170</v>
      </c>
      <c r="J175" t="s">
        <v>6</v>
      </c>
      <c r="K175" t="s">
        <v>171</v>
      </c>
      <c r="L175" t="s">
        <v>3</v>
      </c>
    </row>
    <row r="176" spans="1:12" x14ac:dyDescent="0.2">
      <c r="A176">
        <v>175</v>
      </c>
      <c r="B176" t="s">
        <v>256</v>
      </c>
      <c r="C176" t="s">
        <v>167</v>
      </c>
      <c r="D176" t="s">
        <v>168</v>
      </c>
      <c r="E176" t="s">
        <v>168</v>
      </c>
      <c r="F176" t="s">
        <v>32</v>
      </c>
      <c r="G176" t="s">
        <v>3</v>
      </c>
      <c r="H176" t="s">
        <v>136</v>
      </c>
      <c r="I176" t="s">
        <v>170</v>
      </c>
      <c r="J176" t="s">
        <v>6</v>
      </c>
      <c r="K176" t="s">
        <v>171</v>
      </c>
      <c r="L176" t="s">
        <v>3</v>
      </c>
    </row>
    <row r="177" spans="1:12" x14ac:dyDescent="0.2">
      <c r="A177">
        <v>176</v>
      </c>
      <c r="B177" t="s">
        <v>257</v>
      </c>
      <c r="C177" t="s">
        <v>167</v>
      </c>
      <c r="D177" t="s">
        <v>168</v>
      </c>
      <c r="E177" t="s">
        <v>168</v>
      </c>
      <c r="F177" t="s">
        <v>169</v>
      </c>
      <c r="G177" t="s">
        <v>3</v>
      </c>
      <c r="H177" t="s">
        <v>136</v>
      </c>
      <c r="I177" t="s">
        <v>170</v>
      </c>
      <c r="J177" t="s">
        <v>6</v>
      </c>
      <c r="K177" t="s">
        <v>171</v>
      </c>
      <c r="L177" t="s">
        <v>3</v>
      </c>
    </row>
    <row r="178" spans="1:12" x14ac:dyDescent="0.2">
      <c r="A178">
        <v>171</v>
      </c>
      <c r="B178" t="s">
        <v>258</v>
      </c>
      <c r="C178" t="s">
        <v>167</v>
      </c>
      <c r="D178" t="s">
        <v>168</v>
      </c>
      <c r="E178" t="s">
        <v>168</v>
      </c>
      <c r="F178" t="s">
        <v>169</v>
      </c>
      <c r="G178" t="s">
        <v>3</v>
      </c>
      <c r="H178" t="s">
        <v>139</v>
      </c>
      <c r="I178" t="s">
        <v>170</v>
      </c>
      <c r="J178" t="s">
        <v>6</v>
      </c>
      <c r="K178" t="s">
        <v>171</v>
      </c>
      <c r="L178" t="s">
        <v>3</v>
      </c>
    </row>
    <row r="179" spans="1:12" x14ac:dyDescent="0.2">
      <c r="A179">
        <v>177</v>
      </c>
      <c r="B179" t="s">
        <v>259</v>
      </c>
      <c r="C179" t="s">
        <v>15</v>
      </c>
      <c r="D179" t="s">
        <v>16</v>
      </c>
      <c r="E179" t="s">
        <v>260</v>
      </c>
      <c r="F179" t="s">
        <v>18</v>
      </c>
      <c r="G179">
        <v>2</v>
      </c>
      <c r="H179" t="s">
        <v>4</v>
      </c>
      <c r="I179" t="s">
        <v>170</v>
      </c>
      <c r="J179" t="s">
        <v>19</v>
      </c>
      <c r="K179" t="s">
        <v>12</v>
      </c>
      <c r="L179" t="s">
        <v>13</v>
      </c>
    </row>
    <row r="180" spans="1:12" x14ac:dyDescent="0.2">
      <c r="A180">
        <v>178</v>
      </c>
      <c r="B180" t="s">
        <v>261</v>
      </c>
      <c r="C180" t="s">
        <v>8</v>
      </c>
      <c r="D180" t="s">
        <v>8</v>
      </c>
      <c r="E180" t="s">
        <v>8</v>
      </c>
      <c r="F180" t="s">
        <v>1</v>
      </c>
      <c r="G180" t="s">
        <v>3</v>
      </c>
      <c r="H180" t="s">
        <v>136</v>
      </c>
      <c r="I180" t="s">
        <v>170</v>
      </c>
      <c r="J180" t="s">
        <v>6</v>
      </c>
      <c r="K180" t="s">
        <v>1</v>
      </c>
      <c r="L180" t="s">
        <v>3</v>
      </c>
    </row>
    <row r="181" spans="1:12" x14ac:dyDescent="0.2">
      <c r="A181">
        <v>179</v>
      </c>
      <c r="B181" t="s">
        <v>262</v>
      </c>
      <c r="C181" t="s">
        <v>8</v>
      </c>
      <c r="D181" t="s">
        <v>8</v>
      </c>
      <c r="E181" t="s">
        <v>8</v>
      </c>
      <c r="F181" t="s">
        <v>1</v>
      </c>
      <c r="G181" t="s">
        <v>3</v>
      </c>
      <c r="H181" t="s">
        <v>136</v>
      </c>
      <c r="I181" t="s">
        <v>170</v>
      </c>
      <c r="J181" t="s">
        <v>6</v>
      </c>
      <c r="K181" t="s">
        <v>1</v>
      </c>
      <c r="L181" t="s">
        <v>3</v>
      </c>
    </row>
    <row r="182" spans="1:12" x14ac:dyDescent="0.2">
      <c r="A182">
        <v>180</v>
      </c>
      <c r="B182" t="s">
        <v>263</v>
      </c>
      <c r="C182" t="s">
        <v>8</v>
      </c>
      <c r="D182" t="s">
        <v>8</v>
      </c>
      <c r="E182" t="s">
        <v>8</v>
      </c>
      <c r="F182" t="s">
        <v>1</v>
      </c>
      <c r="G182" t="s">
        <v>3</v>
      </c>
      <c r="H182" t="s">
        <v>136</v>
      </c>
      <c r="I182" t="s">
        <v>170</v>
      </c>
      <c r="J182" t="s">
        <v>6</v>
      </c>
      <c r="K182" t="s">
        <v>1</v>
      </c>
      <c r="L182" t="s">
        <v>3</v>
      </c>
    </row>
    <row r="183" spans="1:12" x14ac:dyDescent="0.2">
      <c r="A183">
        <v>181</v>
      </c>
      <c r="B183" t="s">
        <v>264</v>
      </c>
      <c r="C183" t="s">
        <v>15</v>
      </c>
      <c r="D183" t="s">
        <v>265</v>
      </c>
      <c r="E183" t="s">
        <v>265</v>
      </c>
      <c r="F183" t="s">
        <v>18</v>
      </c>
      <c r="G183">
        <v>2</v>
      </c>
      <c r="H183" t="s">
        <v>4</v>
      </c>
      <c r="I183" t="s">
        <v>170</v>
      </c>
      <c r="J183" t="s">
        <v>19</v>
      </c>
      <c r="K183" t="s">
        <v>171</v>
      </c>
      <c r="L183" t="s">
        <v>206</v>
      </c>
    </row>
    <row r="184" spans="1:12" x14ac:dyDescent="0.2">
      <c r="A184">
        <v>182</v>
      </c>
      <c r="B184" t="s">
        <v>266</v>
      </c>
      <c r="C184" t="s">
        <v>8</v>
      </c>
      <c r="D184" t="s">
        <v>8</v>
      </c>
      <c r="E184" t="s">
        <v>8</v>
      </c>
      <c r="F184" t="s">
        <v>1</v>
      </c>
      <c r="G184" t="s">
        <v>3</v>
      </c>
      <c r="H184" t="s">
        <v>136</v>
      </c>
      <c r="I184" t="s">
        <v>170</v>
      </c>
      <c r="J184" t="s">
        <v>6</v>
      </c>
      <c r="K184" t="s">
        <v>1</v>
      </c>
      <c r="L184" t="s">
        <v>3</v>
      </c>
    </row>
    <row r="185" spans="1:12" x14ac:dyDescent="0.2">
      <c r="A185">
        <v>183</v>
      </c>
      <c r="B185" t="s">
        <v>267</v>
      </c>
      <c r="C185" t="s">
        <v>221</v>
      </c>
      <c r="D185" t="s">
        <v>222</v>
      </c>
      <c r="E185" t="s">
        <v>222</v>
      </c>
      <c r="F185" t="s">
        <v>18</v>
      </c>
      <c r="G185">
        <v>1</v>
      </c>
      <c r="H185" t="s">
        <v>4</v>
      </c>
      <c r="I185" t="s">
        <v>170</v>
      </c>
      <c r="J185" t="s">
        <v>19</v>
      </c>
      <c r="K185" t="s">
        <v>171</v>
      </c>
      <c r="L185" t="s">
        <v>206</v>
      </c>
    </row>
    <row r="186" spans="1:12" x14ac:dyDescent="0.2">
      <c r="A186">
        <v>184</v>
      </c>
      <c r="B186" t="s">
        <v>268</v>
      </c>
      <c r="C186" t="s">
        <v>15</v>
      </c>
      <c r="D186" t="s">
        <v>15</v>
      </c>
      <c r="E186" t="s">
        <v>15</v>
      </c>
      <c r="F186" t="s">
        <v>32</v>
      </c>
      <c r="G186" t="s">
        <v>3</v>
      </c>
      <c r="H186" t="s">
        <v>136</v>
      </c>
      <c r="I186" t="s">
        <v>170</v>
      </c>
      <c r="J186" t="s">
        <v>6</v>
      </c>
      <c r="K186" t="s">
        <v>171</v>
      </c>
      <c r="L186" t="s">
        <v>3</v>
      </c>
    </row>
    <row r="187" spans="1:12" x14ac:dyDescent="0.2">
      <c r="A187">
        <v>185</v>
      </c>
      <c r="B187" t="s">
        <v>269</v>
      </c>
      <c r="C187" t="s">
        <v>270</v>
      </c>
      <c r="D187" t="s">
        <v>271</v>
      </c>
      <c r="E187" t="s">
        <v>271</v>
      </c>
      <c r="F187" t="s">
        <v>1</v>
      </c>
      <c r="G187" t="s">
        <v>3</v>
      </c>
      <c r="H187" t="s">
        <v>136</v>
      </c>
      <c r="I187" t="s">
        <v>170</v>
      </c>
      <c r="J187" t="s">
        <v>6</v>
      </c>
      <c r="K187" t="s">
        <v>171</v>
      </c>
      <c r="L187" t="s">
        <v>3</v>
      </c>
    </row>
    <row r="188" spans="1:12" x14ac:dyDescent="0.2">
      <c r="A188">
        <v>186</v>
      </c>
      <c r="B188" t="s">
        <v>272</v>
      </c>
      <c r="C188" t="s">
        <v>270</v>
      </c>
      <c r="D188" t="s">
        <v>271</v>
      </c>
      <c r="E188" t="s">
        <v>271</v>
      </c>
      <c r="F188" t="s">
        <v>32</v>
      </c>
      <c r="G188" t="s">
        <v>3</v>
      </c>
      <c r="H188" t="s">
        <v>139</v>
      </c>
      <c r="I188" t="s">
        <v>170</v>
      </c>
      <c r="J188" t="s">
        <v>6</v>
      </c>
      <c r="K188" t="s">
        <v>171</v>
      </c>
      <c r="L188" t="s">
        <v>3</v>
      </c>
    </row>
    <row r="189" spans="1:12" x14ac:dyDescent="0.2">
      <c r="A189">
        <v>187</v>
      </c>
      <c r="B189" t="s">
        <v>273</v>
      </c>
      <c r="C189" t="s">
        <v>270</v>
      </c>
      <c r="D189" t="s">
        <v>271</v>
      </c>
      <c r="E189" t="s">
        <v>271</v>
      </c>
      <c r="F189" t="s">
        <v>32</v>
      </c>
      <c r="G189" t="s">
        <v>3</v>
      </c>
      <c r="H189" t="s">
        <v>136</v>
      </c>
      <c r="I189" t="s">
        <v>170</v>
      </c>
      <c r="J189" t="s">
        <v>6</v>
      </c>
      <c r="K189" t="s">
        <v>171</v>
      </c>
      <c r="L189" t="s">
        <v>3</v>
      </c>
    </row>
    <row r="190" spans="1:12" x14ac:dyDescent="0.2">
      <c r="A190">
        <v>188</v>
      </c>
      <c r="B190" t="s">
        <v>274</v>
      </c>
      <c r="C190" t="s">
        <v>183</v>
      </c>
      <c r="D190" t="s">
        <v>184</v>
      </c>
      <c r="E190" t="s">
        <v>184</v>
      </c>
      <c r="F190" t="s">
        <v>32</v>
      </c>
      <c r="G190" t="s">
        <v>3</v>
      </c>
      <c r="H190" t="s">
        <v>136</v>
      </c>
      <c r="I190" t="s">
        <v>170</v>
      </c>
      <c r="J190" t="s">
        <v>6</v>
      </c>
      <c r="K190" t="s">
        <v>12</v>
      </c>
      <c r="L190" t="s">
        <v>3</v>
      </c>
    </row>
    <row r="191" spans="1:12" x14ac:dyDescent="0.2">
      <c r="A191">
        <v>189</v>
      </c>
      <c r="B191" t="s">
        <v>275</v>
      </c>
      <c r="C191" t="s">
        <v>183</v>
      </c>
      <c r="D191" t="s">
        <v>184</v>
      </c>
      <c r="E191" t="s">
        <v>184</v>
      </c>
      <c r="F191" t="s">
        <v>169</v>
      </c>
      <c r="G191" t="s">
        <v>3</v>
      </c>
      <c r="H191" t="s">
        <v>139</v>
      </c>
      <c r="I191" t="s">
        <v>170</v>
      </c>
      <c r="J191" t="s">
        <v>6</v>
      </c>
      <c r="K191" t="s">
        <v>12</v>
      </c>
      <c r="L191" t="s">
        <v>3</v>
      </c>
    </row>
    <row r="192" spans="1:12" x14ac:dyDescent="0.2">
      <c r="A192">
        <v>190</v>
      </c>
      <c r="B192" t="s">
        <v>276</v>
      </c>
      <c r="C192" t="s">
        <v>183</v>
      </c>
      <c r="D192" t="s">
        <v>184</v>
      </c>
      <c r="E192" t="s">
        <v>184</v>
      </c>
      <c r="F192" t="s">
        <v>32</v>
      </c>
      <c r="G192" t="s">
        <v>3</v>
      </c>
      <c r="H192" t="s">
        <v>136</v>
      </c>
      <c r="I192" t="s">
        <v>170</v>
      </c>
      <c r="J192" t="s">
        <v>6</v>
      </c>
      <c r="K192" t="s">
        <v>12</v>
      </c>
      <c r="L192" t="s">
        <v>3</v>
      </c>
    </row>
    <row r="193" spans="1:12" x14ac:dyDescent="0.2">
      <c r="A193">
        <v>191</v>
      </c>
      <c r="B193" t="s">
        <v>277</v>
      </c>
      <c r="C193" t="s">
        <v>183</v>
      </c>
      <c r="D193" t="s">
        <v>184</v>
      </c>
      <c r="E193" t="s">
        <v>184</v>
      </c>
      <c r="F193" t="s">
        <v>32</v>
      </c>
      <c r="G193" t="s">
        <v>3</v>
      </c>
      <c r="H193" t="s">
        <v>136</v>
      </c>
      <c r="I193" t="s">
        <v>170</v>
      </c>
      <c r="J193" t="s">
        <v>6</v>
      </c>
      <c r="K193" t="s">
        <v>12</v>
      </c>
      <c r="L193" t="s">
        <v>3</v>
      </c>
    </row>
    <row r="194" spans="1:12" x14ac:dyDescent="0.2">
      <c r="A194">
        <v>192</v>
      </c>
      <c r="B194" t="s">
        <v>278</v>
      </c>
      <c r="C194" t="s">
        <v>183</v>
      </c>
      <c r="D194" t="s">
        <v>184</v>
      </c>
      <c r="E194" t="s">
        <v>184</v>
      </c>
      <c r="F194" t="s">
        <v>32</v>
      </c>
      <c r="G194" t="s">
        <v>3</v>
      </c>
      <c r="H194" t="s">
        <v>136</v>
      </c>
      <c r="I194" t="s">
        <v>170</v>
      </c>
      <c r="J194" t="s">
        <v>6</v>
      </c>
      <c r="K194" t="s">
        <v>1</v>
      </c>
      <c r="L194" t="s">
        <v>3</v>
      </c>
    </row>
    <row r="195" spans="1:12" x14ac:dyDescent="0.2">
      <c r="A195">
        <v>193</v>
      </c>
      <c r="B195" t="s">
        <v>279</v>
      </c>
      <c r="C195" t="s">
        <v>183</v>
      </c>
      <c r="D195" t="s">
        <v>184</v>
      </c>
      <c r="E195" t="s">
        <v>184</v>
      </c>
      <c r="F195" t="s">
        <v>32</v>
      </c>
      <c r="G195" t="s">
        <v>3</v>
      </c>
      <c r="H195" t="s">
        <v>136</v>
      </c>
      <c r="I195" t="s">
        <v>170</v>
      </c>
      <c r="J195" t="s">
        <v>6</v>
      </c>
      <c r="K195" t="s">
        <v>12</v>
      </c>
      <c r="L195" t="s">
        <v>3</v>
      </c>
    </row>
    <row r="196" spans="1:12" x14ac:dyDescent="0.2">
      <c r="A196">
        <v>194</v>
      </c>
      <c r="B196" t="s">
        <v>280</v>
      </c>
      <c r="C196" t="s">
        <v>183</v>
      </c>
      <c r="D196" t="s">
        <v>184</v>
      </c>
      <c r="E196" t="s">
        <v>184</v>
      </c>
      <c r="F196" t="s">
        <v>1</v>
      </c>
      <c r="G196" t="s">
        <v>3</v>
      </c>
      <c r="H196" t="s">
        <v>139</v>
      </c>
      <c r="I196" t="s">
        <v>170</v>
      </c>
      <c r="J196" t="s">
        <v>6</v>
      </c>
      <c r="K196" t="s">
        <v>1</v>
      </c>
      <c r="L196" t="s">
        <v>3</v>
      </c>
    </row>
    <row r="197" spans="1:12" x14ac:dyDescent="0.2">
      <c r="A197">
        <v>195</v>
      </c>
      <c r="B197" t="s">
        <v>281</v>
      </c>
      <c r="C197" t="s">
        <v>183</v>
      </c>
      <c r="D197" t="s">
        <v>184</v>
      </c>
      <c r="E197" t="s">
        <v>184</v>
      </c>
      <c r="F197" t="s">
        <v>169</v>
      </c>
      <c r="G197" t="s">
        <v>3</v>
      </c>
      <c r="H197" t="s">
        <v>139</v>
      </c>
      <c r="I197" t="s">
        <v>170</v>
      </c>
      <c r="J197" t="s">
        <v>6</v>
      </c>
      <c r="K197" t="s">
        <v>12</v>
      </c>
      <c r="L197" t="s">
        <v>3</v>
      </c>
    </row>
    <row r="198" spans="1:12" x14ac:dyDescent="0.2">
      <c r="A198">
        <v>196</v>
      </c>
      <c r="B198" t="s">
        <v>281</v>
      </c>
      <c r="C198" t="s">
        <v>183</v>
      </c>
      <c r="D198" t="s">
        <v>184</v>
      </c>
      <c r="E198" t="s">
        <v>184</v>
      </c>
      <c r="F198" t="s">
        <v>169</v>
      </c>
      <c r="G198" t="s">
        <v>3</v>
      </c>
      <c r="H198" t="s">
        <v>136</v>
      </c>
      <c r="I198" t="s">
        <v>170</v>
      </c>
      <c r="J198" t="s">
        <v>6</v>
      </c>
      <c r="K198" t="s">
        <v>12</v>
      </c>
      <c r="L198" t="s">
        <v>3</v>
      </c>
    </row>
    <row r="199" spans="1:12" x14ac:dyDescent="0.2">
      <c r="A199">
        <v>197</v>
      </c>
      <c r="B199" t="s">
        <v>282</v>
      </c>
      <c r="C199" t="s">
        <v>183</v>
      </c>
      <c r="D199" t="s">
        <v>184</v>
      </c>
      <c r="E199" t="s">
        <v>184</v>
      </c>
      <c r="F199" t="s">
        <v>32</v>
      </c>
      <c r="G199" t="s">
        <v>3</v>
      </c>
      <c r="H199" t="s">
        <v>136</v>
      </c>
      <c r="I199" t="s">
        <v>170</v>
      </c>
      <c r="J199" t="s">
        <v>19</v>
      </c>
      <c r="K199" t="s">
        <v>12</v>
      </c>
      <c r="L199" t="s">
        <v>13</v>
      </c>
    </row>
    <row r="200" spans="1:12" x14ac:dyDescent="0.2">
      <c r="A200">
        <v>198</v>
      </c>
      <c r="B200" t="s">
        <v>283</v>
      </c>
      <c r="C200" t="s">
        <v>183</v>
      </c>
      <c r="D200" t="s">
        <v>184</v>
      </c>
      <c r="E200" t="s">
        <v>184</v>
      </c>
      <c r="F200" t="s">
        <v>169</v>
      </c>
      <c r="G200" t="s">
        <v>3</v>
      </c>
      <c r="H200" t="s">
        <v>139</v>
      </c>
      <c r="I200" t="s">
        <v>170</v>
      </c>
      <c r="J200" t="s">
        <v>6</v>
      </c>
      <c r="K200" t="s">
        <v>12</v>
      </c>
      <c r="L200" t="s">
        <v>3</v>
      </c>
    </row>
    <row r="201" spans="1:12" x14ac:dyDescent="0.2">
      <c r="A201">
        <v>207</v>
      </c>
      <c r="B201" t="s">
        <v>284</v>
      </c>
      <c r="C201" t="s">
        <v>8</v>
      </c>
      <c r="D201" t="s">
        <v>8</v>
      </c>
      <c r="E201" t="s">
        <v>8</v>
      </c>
      <c r="F201" t="s">
        <v>1</v>
      </c>
      <c r="G201" t="s">
        <v>3</v>
      </c>
      <c r="H201" t="s">
        <v>136</v>
      </c>
      <c r="I201" t="s">
        <v>170</v>
      </c>
      <c r="J201" t="s">
        <v>6</v>
      </c>
      <c r="K201" t="s">
        <v>1</v>
      </c>
      <c r="L201" t="s">
        <v>3</v>
      </c>
    </row>
    <row r="202" spans="1:12" x14ac:dyDescent="0.2">
      <c r="A202">
        <v>208</v>
      </c>
      <c r="B202" t="s">
        <v>285</v>
      </c>
      <c r="C202" t="s">
        <v>8</v>
      </c>
      <c r="D202" t="s">
        <v>8</v>
      </c>
      <c r="E202" t="s">
        <v>8</v>
      </c>
      <c r="F202" t="s">
        <v>1</v>
      </c>
      <c r="G202" t="s">
        <v>3</v>
      </c>
      <c r="H202" t="s">
        <v>136</v>
      </c>
      <c r="I202" t="s">
        <v>170</v>
      </c>
      <c r="J202" t="s">
        <v>6</v>
      </c>
      <c r="K202" t="s">
        <v>1</v>
      </c>
      <c r="L202" t="s">
        <v>3</v>
      </c>
    </row>
    <row r="203" spans="1:12" x14ac:dyDescent="0.2">
      <c r="A203">
        <v>209</v>
      </c>
      <c r="B203" t="s">
        <v>286</v>
      </c>
      <c r="C203" t="s">
        <v>8</v>
      </c>
      <c r="D203" t="s">
        <v>8</v>
      </c>
      <c r="E203" t="s">
        <v>8</v>
      </c>
      <c r="F203" t="s">
        <v>1</v>
      </c>
      <c r="G203" t="s">
        <v>3</v>
      </c>
      <c r="H203" t="s">
        <v>136</v>
      </c>
      <c r="I203" t="s">
        <v>170</v>
      </c>
      <c r="J203" t="s">
        <v>6</v>
      </c>
      <c r="K203" t="s">
        <v>1</v>
      </c>
      <c r="L203" t="s">
        <v>3</v>
      </c>
    </row>
    <row r="204" spans="1:12" x14ac:dyDescent="0.2">
      <c r="A204">
        <v>210</v>
      </c>
      <c r="B204" t="s">
        <v>287</v>
      </c>
      <c r="C204" t="s">
        <v>8</v>
      </c>
      <c r="D204" t="s">
        <v>8</v>
      </c>
      <c r="E204" t="s">
        <v>8</v>
      </c>
      <c r="F204" t="s">
        <v>1</v>
      </c>
      <c r="G204" t="s">
        <v>3</v>
      </c>
      <c r="H204" t="s">
        <v>139</v>
      </c>
      <c r="I204" t="s">
        <v>170</v>
      </c>
      <c r="J204" t="s">
        <v>6</v>
      </c>
      <c r="K204" t="s">
        <v>1</v>
      </c>
      <c r="L204" t="s">
        <v>3</v>
      </c>
    </row>
    <row r="205" spans="1:12" x14ac:dyDescent="0.2">
      <c r="A205">
        <v>211</v>
      </c>
      <c r="B205" t="s">
        <v>288</v>
      </c>
      <c r="C205" t="s">
        <v>8</v>
      </c>
      <c r="D205" t="s">
        <v>8</v>
      </c>
      <c r="E205" t="s">
        <v>8</v>
      </c>
      <c r="F205" t="s">
        <v>1</v>
      </c>
      <c r="G205" t="s">
        <v>3</v>
      </c>
      <c r="H205" t="s">
        <v>136</v>
      </c>
      <c r="I205" t="s">
        <v>170</v>
      </c>
      <c r="J205" t="s">
        <v>6</v>
      </c>
      <c r="K205" t="s">
        <v>171</v>
      </c>
      <c r="L205" t="s">
        <v>3</v>
      </c>
    </row>
    <row r="206" spans="1:12" x14ac:dyDescent="0.2">
      <c r="A206">
        <v>212</v>
      </c>
      <c r="B206" t="s">
        <v>289</v>
      </c>
      <c r="C206" t="s">
        <v>8</v>
      </c>
      <c r="D206" t="s">
        <v>8</v>
      </c>
      <c r="E206" t="s">
        <v>8</v>
      </c>
      <c r="F206" t="s">
        <v>1</v>
      </c>
      <c r="G206" t="s">
        <v>3</v>
      </c>
      <c r="H206" t="s">
        <v>136</v>
      </c>
      <c r="I206" t="s">
        <v>170</v>
      </c>
      <c r="J206" t="s">
        <v>6</v>
      </c>
      <c r="K206" t="s">
        <v>1</v>
      </c>
      <c r="L206" t="s">
        <v>3</v>
      </c>
    </row>
    <row r="207" spans="1:12" x14ac:dyDescent="0.2">
      <c r="A207">
        <v>199</v>
      </c>
      <c r="B207" t="s">
        <v>290</v>
      </c>
      <c r="C207" t="s">
        <v>167</v>
      </c>
      <c r="D207" t="s">
        <v>168</v>
      </c>
      <c r="E207" t="s">
        <v>168</v>
      </c>
      <c r="F207" t="s">
        <v>32</v>
      </c>
      <c r="G207" t="s">
        <v>3</v>
      </c>
      <c r="H207" t="s">
        <v>136</v>
      </c>
      <c r="I207" t="s">
        <v>170</v>
      </c>
      <c r="J207" t="s">
        <v>6</v>
      </c>
      <c r="K207" t="s">
        <v>171</v>
      </c>
      <c r="L207" t="s">
        <v>3</v>
      </c>
    </row>
    <row r="208" spans="1:12" x14ac:dyDescent="0.2">
      <c r="A208">
        <v>200</v>
      </c>
      <c r="B208" t="s">
        <v>291</v>
      </c>
      <c r="C208" t="s">
        <v>167</v>
      </c>
      <c r="D208" t="s">
        <v>168</v>
      </c>
      <c r="E208" t="s">
        <v>168</v>
      </c>
      <c r="F208" t="s">
        <v>169</v>
      </c>
      <c r="G208" t="s">
        <v>3</v>
      </c>
      <c r="H208" t="s">
        <v>139</v>
      </c>
      <c r="I208" t="s">
        <v>170</v>
      </c>
      <c r="J208" t="s">
        <v>6</v>
      </c>
      <c r="K208" t="s">
        <v>171</v>
      </c>
      <c r="L208" t="s">
        <v>3</v>
      </c>
    </row>
    <row r="209" spans="1:12" x14ac:dyDescent="0.2">
      <c r="A209">
        <v>201</v>
      </c>
      <c r="B209" t="s">
        <v>292</v>
      </c>
      <c r="C209" t="s">
        <v>167</v>
      </c>
      <c r="D209" t="s">
        <v>168</v>
      </c>
      <c r="E209" t="s">
        <v>168</v>
      </c>
      <c r="F209" t="s">
        <v>169</v>
      </c>
      <c r="G209" t="s">
        <v>3</v>
      </c>
      <c r="H209" t="s">
        <v>4</v>
      </c>
      <c r="I209" t="s">
        <v>170</v>
      </c>
      <c r="J209" t="s">
        <v>6</v>
      </c>
      <c r="K209" t="s">
        <v>171</v>
      </c>
      <c r="L209" t="s">
        <v>3</v>
      </c>
    </row>
    <row r="210" spans="1:12" x14ac:dyDescent="0.2">
      <c r="A210">
        <v>202</v>
      </c>
      <c r="B210" t="s">
        <v>292</v>
      </c>
      <c r="C210" t="s">
        <v>167</v>
      </c>
      <c r="D210" t="s">
        <v>168</v>
      </c>
      <c r="E210" t="s">
        <v>168</v>
      </c>
      <c r="F210" t="s">
        <v>169</v>
      </c>
      <c r="G210" t="s">
        <v>3</v>
      </c>
      <c r="H210" t="s">
        <v>136</v>
      </c>
      <c r="I210" t="s">
        <v>170</v>
      </c>
      <c r="J210" t="s">
        <v>6</v>
      </c>
      <c r="K210" t="s">
        <v>171</v>
      </c>
      <c r="L210" t="s">
        <v>3</v>
      </c>
    </row>
    <row r="211" spans="1:12" x14ac:dyDescent="0.2">
      <c r="A211">
        <v>203</v>
      </c>
      <c r="B211" t="s">
        <v>293</v>
      </c>
      <c r="C211" t="s">
        <v>167</v>
      </c>
      <c r="D211" t="s">
        <v>168</v>
      </c>
      <c r="E211" t="s">
        <v>168</v>
      </c>
      <c r="F211" t="s">
        <v>169</v>
      </c>
      <c r="G211" t="s">
        <v>3</v>
      </c>
      <c r="H211" t="s">
        <v>139</v>
      </c>
      <c r="I211" t="s">
        <v>170</v>
      </c>
      <c r="J211" t="s">
        <v>6</v>
      </c>
      <c r="K211" t="s">
        <v>171</v>
      </c>
      <c r="L211" t="s">
        <v>3</v>
      </c>
    </row>
    <row r="212" spans="1:12" x14ac:dyDescent="0.2">
      <c r="A212">
        <v>204</v>
      </c>
      <c r="B212" t="s">
        <v>294</v>
      </c>
      <c r="C212" t="s">
        <v>167</v>
      </c>
      <c r="D212" t="s">
        <v>168</v>
      </c>
      <c r="E212" t="s">
        <v>168</v>
      </c>
      <c r="F212" t="s">
        <v>32</v>
      </c>
      <c r="G212" t="s">
        <v>3</v>
      </c>
      <c r="H212" t="s">
        <v>136</v>
      </c>
      <c r="I212" t="s">
        <v>170</v>
      </c>
      <c r="J212" t="s">
        <v>6</v>
      </c>
      <c r="K212" t="s">
        <v>171</v>
      </c>
      <c r="L212" t="s">
        <v>3</v>
      </c>
    </row>
    <row r="213" spans="1:12" x14ac:dyDescent="0.2">
      <c r="A213">
        <v>205</v>
      </c>
      <c r="B213" t="s">
        <v>295</v>
      </c>
      <c r="C213" t="s">
        <v>167</v>
      </c>
      <c r="D213" t="s">
        <v>168</v>
      </c>
      <c r="E213" t="s">
        <v>168</v>
      </c>
      <c r="F213" t="s">
        <v>18</v>
      </c>
      <c r="G213">
        <v>1</v>
      </c>
      <c r="H213" t="s">
        <v>139</v>
      </c>
      <c r="I213" t="s">
        <v>170</v>
      </c>
      <c r="J213" t="s">
        <v>19</v>
      </c>
      <c r="K213" t="s">
        <v>171</v>
      </c>
      <c r="L213" t="s">
        <v>172</v>
      </c>
    </row>
    <row r="214" spans="1:12" x14ac:dyDescent="0.2">
      <c r="A214">
        <v>206</v>
      </c>
      <c r="B214" t="s">
        <v>296</v>
      </c>
      <c r="C214" t="s">
        <v>167</v>
      </c>
      <c r="D214" t="s">
        <v>168</v>
      </c>
      <c r="E214" t="s">
        <v>168</v>
      </c>
      <c r="F214" t="s">
        <v>40</v>
      </c>
      <c r="G214">
        <v>1</v>
      </c>
      <c r="H214" t="s">
        <v>136</v>
      </c>
      <c r="I214" t="s">
        <v>170</v>
      </c>
      <c r="J214" t="s">
        <v>19</v>
      </c>
      <c r="K214" t="s">
        <v>171</v>
      </c>
      <c r="L214" t="s">
        <v>172</v>
      </c>
    </row>
    <row r="215" spans="1:12" x14ac:dyDescent="0.2">
      <c r="A215">
        <v>213</v>
      </c>
      <c r="B215" t="s">
        <v>297</v>
      </c>
      <c r="C215" t="s">
        <v>8</v>
      </c>
      <c r="D215" t="s">
        <v>8</v>
      </c>
      <c r="E215" t="s">
        <v>8</v>
      </c>
      <c r="F215" t="s">
        <v>1</v>
      </c>
      <c r="G215" t="s">
        <v>3</v>
      </c>
      <c r="H215" t="s">
        <v>136</v>
      </c>
      <c r="I215" t="s">
        <v>170</v>
      </c>
      <c r="J215" t="s">
        <v>6</v>
      </c>
      <c r="K215" t="s">
        <v>1</v>
      </c>
      <c r="L215" t="s">
        <v>3</v>
      </c>
    </row>
    <row r="216" spans="1:12" x14ac:dyDescent="0.2">
      <c r="A216">
        <v>214</v>
      </c>
      <c r="B216" t="s">
        <v>298</v>
      </c>
      <c r="C216" t="s">
        <v>8</v>
      </c>
      <c r="D216" t="s">
        <v>8</v>
      </c>
      <c r="E216" t="s">
        <v>8</v>
      </c>
      <c r="F216" t="s">
        <v>1</v>
      </c>
      <c r="G216" t="s">
        <v>3</v>
      </c>
      <c r="H216" t="s">
        <v>136</v>
      </c>
      <c r="I216" t="s">
        <v>170</v>
      </c>
      <c r="J216" t="s">
        <v>6</v>
      </c>
      <c r="K216" t="s">
        <v>1</v>
      </c>
      <c r="L216" t="s">
        <v>3</v>
      </c>
    </row>
    <row r="217" spans="1:12" x14ac:dyDescent="0.2">
      <c r="A217">
        <v>215</v>
      </c>
      <c r="B217" t="s">
        <v>299</v>
      </c>
      <c r="C217" t="s">
        <v>198</v>
      </c>
      <c r="D217" t="s">
        <v>199</v>
      </c>
      <c r="E217" t="s">
        <v>199</v>
      </c>
      <c r="F217" t="s">
        <v>32</v>
      </c>
      <c r="G217" t="s">
        <v>3</v>
      </c>
      <c r="H217" t="s">
        <v>139</v>
      </c>
      <c r="I217" t="s">
        <v>170</v>
      </c>
      <c r="J217" t="s">
        <v>6</v>
      </c>
      <c r="K217" t="s">
        <v>1</v>
      </c>
      <c r="L217" t="s">
        <v>3</v>
      </c>
    </row>
    <row r="218" spans="1:12" x14ac:dyDescent="0.2">
      <c r="A218">
        <v>216</v>
      </c>
      <c r="B218" t="s">
        <v>300</v>
      </c>
      <c r="C218" t="s">
        <v>198</v>
      </c>
      <c r="D218" t="s">
        <v>199</v>
      </c>
      <c r="E218" t="s">
        <v>199</v>
      </c>
      <c r="F218" t="s">
        <v>18</v>
      </c>
      <c r="G218">
        <v>2</v>
      </c>
      <c r="H218" t="s">
        <v>4</v>
      </c>
      <c r="I218" t="s">
        <v>170</v>
      </c>
      <c r="J218" t="s">
        <v>19</v>
      </c>
      <c r="K218" t="s">
        <v>12</v>
      </c>
      <c r="L218" t="s">
        <v>13</v>
      </c>
    </row>
    <row r="219" spans="1:12" x14ac:dyDescent="0.2">
      <c r="A219">
        <v>217</v>
      </c>
      <c r="B219" t="s">
        <v>301</v>
      </c>
      <c r="C219" t="s">
        <v>15</v>
      </c>
      <c r="D219" t="s">
        <v>15</v>
      </c>
      <c r="E219" t="s">
        <v>15</v>
      </c>
      <c r="F219" t="s">
        <v>233</v>
      </c>
      <c r="G219" t="s">
        <v>3</v>
      </c>
      <c r="H219" t="s">
        <v>139</v>
      </c>
      <c r="I219" t="s">
        <v>170</v>
      </c>
      <c r="J219" t="s">
        <v>19</v>
      </c>
      <c r="K219" t="s">
        <v>171</v>
      </c>
      <c r="L219" t="s">
        <v>206</v>
      </c>
    </row>
    <row r="220" spans="1:12" x14ac:dyDescent="0.2">
      <c r="A220">
        <v>218</v>
      </c>
      <c r="B220" t="s">
        <v>302</v>
      </c>
      <c r="C220" t="s">
        <v>15</v>
      </c>
      <c r="D220" t="s">
        <v>15</v>
      </c>
      <c r="E220" t="s">
        <v>15</v>
      </c>
      <c r="F220" t="s">
        <v>32</v>
      </c>
      <c r="G220" t="s">
        <v>3</v>
      </c>
      <c r="H220" t="s">
        <v>136</v>
      </c>
      <c r="I220" t="s">
        <v>170</v>
      </c>
      <c r="J220" t="s">
        <v>6</v>
      </c>
      <c r="K220" t="s">
        <v>171</v>
      </c>
      <c r="L220" t="s">
        <v>3</v>
      </c>
    </row>
    <row r="221" spans="1:12" x14ac:dyDescent="0.2">
      <c r="A221">
        <v>219</v>
      </c>
      <c r="B221" t="s">
        <v>303</v>
      </c>
      <c r="C221" t="s">
        <v>8</v>
      </c>
      <c r="D221" t="s">
        <v>8</v>
      </c>
      <c r="E221" t="s">
        <v>15</v>
      </c>
      <c r="F221" t="s">
        <v>1</v>
      </c>
      <c r="G221" t="s">
        <v>3</v>
      </c>
      <c r="H221" t="s">
        <v>136</v>
      </c>
      <c r="I221" t="s">
        <v>170</v>
      </c>
      <c r="J221" t="s">
        <v>6</v>
      </c>
      <c r="K221" t="s">
        <v>1</v>
      </c>
      <c r="L221" t="s">
        <v>3</v>
      </c>
    </row>
    <row r="222" spans="1:12" x14ac:dyDescent="0.2">
      <c r="A222">
        <v>220</v>
      </c>
      <c r="B222" t="s">
        <v>304</v>
      </c>
      <c r="C222" t="s">
        <v>8</v>
      </c>
      <c r="D222" t="s">
        <v>8</v>
      </c>
      <c r="E222" t="s">
        <v>15</v>
      </c>
      <c r="F222" t="s">
        <v>1</v>
      </c>
      <c r="G222" t="s">
        <v>3</v>
      </c>
      <c r="H222" t="s">
        <v>136</v>
      </c>
      <c r="I222" t="s">
        <v>170</v>
      </c>
      <c r="J222" t="s">
        <v>6</v>
      </c>
      <c r="K222" t="s">
        <v>1</v>
      </c>
      <c r="L222" t="s">
        <v>3</v>
      </c>
    </row>
    <row r="223" spans="1:12" x14ac:dyDescent="0.2">
      <c r="A223">
        <v>221</v>
      </c>
      <c r="B223" t="s">
        <v>305</v>
      </c>
      <c r="C223" t="s">
        <v>15</v>
      </c>
      <c r="D223" t="s">
        <v>15</v>
      </c>
      <c r="E223" t="s">
        <v>15</v>
      </c>
      <c r="F223" t="s">
        <v>1</v>
      </c>
      <c r="G223" t="s">
        <v>3</v>
      </c>
      <c r="H223" t="s">
        <v>139</v>
      </c>
      <c r="I223" t="s">
        <v>170</v>
      </c>
      <c r="J223" t="s">
        <v>6</v>
      </c>
      <c r="K223" t="s">
        <v>171</v>
      </c>
      <c r="L223" t="s">
        <v>3</v>
      </c>
    </row>
    <row r="224" spans="1:12" x14ac:dyDescent="0.2">
      <c r="A224">
        <v>222</v>
      </c>
      <c r="B224" t="s">
        <v>306</v>
      </c>
      <c r="C224" t="s">
        <v>15</v>
      </c>
      <c r="D224" t="s">
        <v>15</v>
      </c>
      <c r="E224" t="s">
        <v>15</v>
      </c>
      <c r="F224" t="s">
        <v>32</v>
      </c>
      <c r="G224" t="s">
        <v>3</v>
      </c>
      <c r="H224" t="s">
        <v>136</v>
      </c>
      <c r="I224" t="s">
        <v>170</v>
      </c>
      <c r="J224" t="s">
        <v>6</v>
      </c>
      <c r="K224" t="s">
        <v>171</v>
      </c>
      <c r="L224" t="s">
        <v>3</v>
      </c>
    </row>
    <row r="225" spans="1:12" x14ac:dyDescent="0.2">
      <c r="A225">
        <v>223</v>
      </c>
      <c r="B225" t="s">
        <v>307</v>
      </c>
      <c r="C225" t="s">
        <v>15</v>
      </c>
      <c r="D225" t="s">
        <v>15</v>
      </c>
      <c r="E225" t="s">
        <v>15</v>
      </c>
      <c r="F225" t="s">
        <v>32</v>
      </c>
      <c r="G225" t="s">
        <v>3</v>
      </c>
      <c r="H225" t="s">
        <v>136</v>
      </c>
      <c r="I225" t="s">
        <v>170</v>
      </c>
      <c r="J225" t="s">
        <v>6</v>
      </c>
      <c r="K225" t="s">
        <v>171</v>
      </c>
      <c r="L225" t="s">
        <v>3</v>
      </c>
    </row>
    <row r="226" spans="1:12" x14ac:dyDescent="0.2">
      <c r="A226">
        <v>224</v>
      </c>
      <c r="B226" t="s">
        <v>308</v>
      </c>
      <c r="C226" t="s">
        <v>15</v>
      </c>
      <c r="D226" t="s">
        <v>15</v>
      </c>
      <c r="E226" t="s">
        <v>15</v>
      </c>
      <c r="F226" t="s">
        <v>169</v>
      </c>
      <c r="G226" t="s">
        <v>3</v>
      </c>
      <c r="H226" t="s">
        <v>136</v>
      </c>
      <c r="I226" t="s">
        <v>170</v>
      </c>
      <c r="J226" t="s">
        <v>6</v>
      </c>
      <c r="K226" t="s">
        <v>171</v>
      </c>
      <c r="L226" t="s">
        <v>3</v>
      </c>
    </row>
    <row r="227" spans="1:12" x14ac:dyDescent="0.2">
      <c r="A227">
        <v>225</v>
      </c>
      <c r="B227" t="s">
        <v>309</v>
      </c>
      <c r="C227" t="s">
        <v>15</v>
      </c>
      <c r="D227" t="s">
        <v>15</v>
      </c>
      <c r="E227" t="s">
        <v>15</v>
      </c>
      <c r="F227" t="s">
        <v>169</v>
      </c>
      <c r="G227" t="s">
        <v>3</v>
      </c>
      <c r="H227" t="s">
        <v>139</v>
      </c>
      <c r="I227" t="s">
        <v>170</v>
      </c>
      <c r="J227" t="s">
        <v>6</v>
      </c>
      <c r="K227" t="s">
        <v>171</v>
      </c>
      <c r="L227" t="s">
        <v>3</v>
      </c>
    </row>
    <row r="228" spans="1:12" x14ac:dyDescent="0.2">
      <c r="A228">
        <v>226</v>
      </c>
      <c r="B228" t="s">
        <v>310</v>
      </c>
      <c r="C228" t="s">
        <v>15</v>
      </c>
      <c r="D228" t="s">
        <v>15</v>
      </c>
      <c r="E228" t="s">
        <v>15</v>
      </c>
      <c r="F228" t="s">
        <v>169</v>
      </c>
      <c r="G228" t="s">
        <v>3</v>
      </c>
      <c r="H228" t="s">
        <v>139</v>
      </c>
      <c r="I228" t="s">
        <v>170</v>
      </c>
      <c r="J228" t="s">
        <v>6</v>
      </c>
      <c r="K228" t="s">
        <v>171</v>
      </c>
      <c r="L228" t="s">
        <v>3</v>
      </c>
    </row>
    <row r="229" spans="1:12" x14ac:dyDescent="0.2">
      <c r="A229">
        <v>227</v>
      </c>
      <c r="B229" t="s">
        <v>311</v>
      </c>
      <c r="C229" t="s">
        <v>15</v>
      </c>
      <c r="D229" t="s">
        <v>15</v>
      </c>
      <c r="E229" t="s">
        <v>15</v>
      </c>
      <c r="F229" t="s">
        <v>169</v>
      </c>
      <c r="G229" t="s">
        <v>3</v>
      </c>
      <c r="H229" t="s">
        <v>139</v>
      </c>
      <c r="I229" t="s">
        <v>170</v>
      </c>
      <c r="J229" t="s">
        <v>6</v>
      </c>
      <c r="K229" t="s">
        <v>171</v>
      </c>
      <c r="L229" t="s">
        <v>3</v>
      </c>
    </row>
    <row r="230" spans="1:12" x14ac:dyDescent="0.2">
      <c r="A230">
        <v>228</v>
      </c>
      <c r="B230" t="s">
        <v>312</v>
      </c>
      <c r="C230" t="s">
        <v>15</v>
      </c>
      <c r="D230" t="s">
        <v>15</v>
      </c>
      <c r="E230" t="s">
        <v>15</v>
      </c>
      <c r="F230" t="s">
        <v>1</v>
      </c>
      <c r="G230" t="s">
        <v>3</v>
      </c>
      <c r="H230" t="s">
        <v>139</v>
      </c>
      <c r="I230" t="s">
        <v>170</v>
      </c>
      <c r="J230" t="s">
        <v>6</v>
      </c>
      <c r="K230" t="s">
        <v>171</v>
      </c>
      <c r="L230" t="s">
        <v>3</v>
      </c>
    </row>
    <row r="231" spans="1:12" x14ac:dyDescent="0.2">
      <c r="A231">
        <v>236</v>
      </c>
      <c r="B231" t="s">
        <v>313</v>
      </c>
      <c r="C231" t="s">
        <v>15</v>
      </c>
      <c r="D231" t="s">
        <v>15</v>
      </c>
      <c r="E231" t="s">
        <v>15</v>
      </c>
      <c r="F231" t="s">
        <v>1</v>
      </c>
      <c r="G231" t="s">
        <v>3</v>
      </c>
      <c r="H231" t="s">
        <v>139</v>
      </c>
      <c r="I231" t="s">
        <v>170</v>
      </c>
      <c r="J231" t="s">
        <v>6</v>
      </c>
      <c r="K231" t="s">
        <v>171</v>
      </c>
      <c r="L231" t="s">
        <v>206</v>
      </c>
    </row>
    <row r="232" spans="1:12" x14ac:dyDescent="0.2">
      <c r="A232">
        <v>237</v>
      </c>
      <c r="B232" t="s">
        <v>314</v>
      </c>
      <c r="C232" t="s">
        <v>183</v>
      </c>
      <c r="D232" t="s">
        <v>184</v>
      </c>
      <c r="E232" t="s">
        <v>184</v>
      </c>
      <c r="F232" t="s">
        <v>18</v>
      </c>
      <c r="G232">
        <v>1</v>
      </c>
      <c r="H232" t="s">
        <v>136</v>
      </c>
      <c r="I232" t="s">
        <v>170</v>
      </c>
      <c r="J232" t="s">
        <v>19</v>
      </c>
      <c r="K232" t="s">
        <v>12</v>
      </c>
      <c r="L232" t="s">
        <v>13</v>
      </c>
    </row>
    <row r="233" spans="1:12" x14ac:dyDescent="0.2">
      <c r="A233">
        <v>229</v>
      </c>
      <c r="B233" t="s">
        <v>315</v>
      </c>
      <c r="C233" t="s">
        <v>227</v>
      </c>
      <c r="D233" t="s">
        <v>127</v>
      </c>
      <c r="E233" t="s">
        <v>127</v>
      </c>
      <c r="F233" t="s">
        <v>127</v>
      </c>
      <c r="G233" t="s">
        <v>3</v>
      </c>
      <c r="H233" t="s">
        <v>136</v>
      </c>
      <c r="I233" t="s">
        <v>170</v>
      </c>
      <c r="J233" t="s">
        <v>6</v>
      </c>
      <c r="K233" t="s">
        <v>127</v>
      </c>
      <c r="L233" t="s">
        <v>3</v>
      </c>
    </row>
    <row r="234" spans="1:12" x14ac:dyDescent="0.2">
      <c r="A234">
        <v>231</v>
      </c>
      <c r="B234" t="s">
        <v>316</v>
      </c>
      <c r="C234" t="s">
        <v>227</v>
      </c>
      <c r="D234" t="s">
        <v>127</v>
      </c>
      <c r="E234" t="s">
        <v>127</v>
      </c>
      <c r="F234" t="s">
        <v>127</v>
      </c>
      <c r="G234" t="s">
        <v>3</v>
      </c>
      <c r="H234" t="s">
        <v>139</v>
      </c>
      <c r="I234" t="s">
        <v>170</v>
      </c>
      <c r="J234" t="s">
        <v>6</v>
      </c>
      <c r="K234" t="s">
        <v>171</v>
      </c>
      <c r="L234" t="s">
        <v>3</v>
      </c>
    </row>
    <row r="235" spans="1:12" x14ac:dyDescent="0.2">
      <c r="A235">
        <v>232</v>
      </c>
      <c r="B235" t="s">
        <v>317</v>
      </c>
      <c r="C235" t="s">
        <v>227</v>
      </c>
      <c r="D235" t="s">
        <v>127</v>
      </c>
      <c r="E235" t="s">
        <v>127</v>
      </c>
      <c r="F235" t="s">
        <v>127</v>
      </c>
      <c r="G235" t="s">
        <v>3</v>
      </c>
      <c r="H235" t="s">
        <v>136</v>
      </c>
      <c r="I235" t="s">
        <v>170</v>
      </c>
      <c r="J235" t="s">
        <v>6</v>
      </c>
      <c r="K235" t="s">
        <v>171</v>
      </c>
      <c r="L235" t="s">
        <v>3</v>
      </c>
    </row>
    <row r="236" spans="1:12" x14ac:dyDescent="0.2">
      <c r="A236">
        <v>238</v>
      </c>
      <c r="B236" t="s">
        <v>318</v>
      </c>
      <c r="C236" t="s">
        <v>227</v>
      </c>
      <c r="D236" t="s">
        <v>127</v>
      </c>
      <c r="E236" t="s">
        <v>127</v>
      </c>
      <c r="F236" t="s">
        <v>127</v>
      </c>
      <c r="G236" t="s">
        <v>3</v>
      </c>
      <c r="H236" t="s">
        <v>136</v>
      </c>
      <c r="I236" t="s">
        <v>170</v>
      </c>
      <c r="J236" t="s">
        <v>6</v>
      </c>
      <c r="K236" t="s">
        <v>171</v>
      </c>
      <c r="L236" t="s">
        <v>3</v>
      </c>
    </row>
    <row r="237" spans="1:12" x14ac:dyDescent="0.2">
      <c r="A237">
        <v>233</v>
      </c>
      <c r="B237" t="s">
        <v>319</v>
      </c>
      <c r="C237" t="s">
        <v>227</v>
      </c>
      <c r="D237" t="s">
        <v>127</v>
      </c>
      <c r="E237" t="s">
        <v>127</v>
      </c>
      <c r="F237" t="s">
        <v>127</v>
      </c>
      <c r="G237" t="s">
        <v>3</v>
      </c>
      <c r="H237" t="s">
        <v>139</v>
      </c>
      <c r="I237" t="s">
        <v>170</v>
      </c>
      <c r="J237" t="s">
        <v>6</v>
      </c>
      <c r="K237" t="s">
        <v>171</v>
      </c>
      <c r="L237" t="s">
        <v>3</v>
      </c>
    </row>
    <row r="238" spans="1:12" x14ac:dyDescent="0.2">
      <c r="A238">
        <v>230</v>
      </c>
      <c r="B238" t="s">
        <v>320</v>
      </c>
      <c r="C238" t="s">
        <v>227</v>
      </c>
      <c r="D238" t="s">
        <v>127</v>
      </c>
      <c r="E238" t="s">
        <v>127</v>
      </c>
      <c r="F238" t="s">
        <v>127</v>
      </c>
      <c r="G238" t="s">
        <v>3</v>
      </c>
      <c r="H238" t="s">
        <v>136</v>
      </c>
      <c r="I238" t="s">
        <v>170</v>
      </c>
      <c r="J238" t="s">
        <v>6</v>
      </c>
      <c r="K238" t="s">
        <v>171</v>
      </c>
      <c r="L238" t="s">
        <v>3</v>
      </c>
    </row>
    <row r="239" spans="1:12" x14ac:dyDescent="0.2">
      <c r="A239">
        <v>234</v>
      </c>
      <c r="B239" t="s">
        <v>321</v>
      </c>
      <c r="C239" t="s">
        <v>227</v>
      </c>
      <c r="D239" t="s">
        <v>127</v>
      </c>
      <c r="E239" t="s">
        <v>127</v>
      </c>
      <c r="F239" t="s">
        <v>127</v>
      </c>
      <c r="G239" t="s">
        <v>3</v>
      </c>
      <c r="H239" t="s">
        <v>136</v>
      </c>
      <c r="I239" t="s">
        <v>170</v>
      </c>
      <c r="J239" t="s">
        <v>6</v>
      </c>
      <c r="K239" t="s">
        <v>171</v>
      </c>
      <c r="L239" t="s">
        <v>3</v>
      </c>
    </row>
    <row r="240" spans="1:12" x14ac:dyDescent="0.2">
      <c r="A240">
        <v>235</v>
      </c>
      <c r="B240" t="s">
        <v>322</v>
      </c>
      <c r="C240" t="s">
        <v>227</v>
      </c>
      <c r="D240" t="s">
        <v>127</v>
      </c>
      <c r="E240" t="s">
        <v>127</v>
      </c>
      <c r="F240" t="s">
        <v>127</v>
      </c>
      <c r="G240" t="s">
        <v>3</v>
      </c>
      <c r="H240" t="s">
        <v>139</v>
      </c>
      <c r="I240" t="s">
        <v>170</v>
      </c>
      <c r="J240" t="s">
        <v>6</v>
      </c>
      <c r="K240" t="s">
        <v>171</v>
      </c>
      <c r="L240" t="s">
        <v>3</v>
      </c>
    </row>
    <row r="241" spans="1:12" x14ac:dyDescent="0.2">
      <c r="A241">
        <v>239</v>
      </c>
      <c r="B241" t="s">
        <v>323</v>
      </c>
      <c r="C241" t="s">
        <v>15</v>
      </c>
      <c r="D241" t="s">
        <v>222</v>
      </c>
      <c r="E241" t="s">
        <v>222</v>
      </c>
      <c r="F241" t="s">
        <v>18</v>
      </c>
      <c r="G241">
        <v>2</v>
      </c>
      <c r="H241" t="s">
        <v>4</v>
      </c>
      <c r="I241" t="s">
        <v>170</v>
      </c>
      <c r="J241" t="s">
        <v>19</v>
      </c>
      <c r="K241" t="s">
        <v>171</v>
      </c>
      <c r="L241" t="s">
        <v>206</v>
      </c>
    </row>
    <row r="242" spans="1:12" x14ac:dyDescent="0.2">
      <c r="A242">
        <v>240</v>
      </c>
      <c r="B242" t="s">
        <v>324</v>
      </c>
      <c r="C242" t="s">
        <v>15</v>
      </c>
      <c r="D242" t="s">
        <v>222</v>
      </c>
      <c r="E242" t="s">
        <v>222</v>
      </c>
      <c r="F242" t="s">
        <v>40</v>
      </c>
      <c r="G242">
        <v>2</v>
      </c>
      <c r="H242" t="s">
        <v>4</v>
      </c>
      <c r="I242" t="s">
        <v>170</v>
      </c>
      <c r="J242" t="s">
        <v>19</v>
      </c>
      <c r="K242" t="s">
        <v>171</v>
      </c>
      <c r="L242" t="s">
        <v>206</v>
      </c>
    </row>
    <row r="243" spans="1:12" x14ac:dyDescent="0.2">
      <c r="A243">
        <v>241</v>
      </c>
      <c r="B243" t="s">
        <v>325</v>
      </c>
      <c r="C243" t="s">
        <v>15</v>
      </c>
      <c r="D243" t="s">
        <v>15</v>
      </c>
      <c r="E243" t="s">
        <v>15</v>
      </c>
      <c r="F243" t="s">
        <v>32</v>
      </c>
      <c r="G243" t="s">
        <v>3</v>
      </c>
      <c r="H243" t="s">
        <v>136</v>
      </c>
      <c r="I243" t="s">
        <v>170</v>
      </c>
      <c r="J243" t="s">
        <v>6</v>
      </c>
      <c r="K243" t="s">
        <v>171</v>
      </c>
      <c r="L243" t="s">
        <v>3</v>
      </c>
    </row>
    <row r="244" spans="1:12" x14ac:dyDescent="0.2">
      <c r="A244">
        <v>242</v>
      </c>
      <c r="B244" t="s">
        <v>326</v>
      </c>
      <c r="C244" t="s">
        <v>8</v>
      </c>
      <c r="D244" t="s">
        <v>8</v>
      </c>
      <c r="E244" t="s">
        <v>8</v>
      </c>
      <c r="F244" t="s">
        <v>1</v>
      </c>
      <c r="G244" t="s">
        <v>3</v>
      </c>
      <c r="H244" t="s">
        <v>136</v>
      </c>
      <c r="I244" t="s">
        <v>170</v>
      </c>
      <c r="J244" t="s">
        <v>6</v>
      </c>
      <c r="K244" t="s">
        <v>1</v>
      </c>
      <c r="L244" t="s">
        <v>3</v>
      </c>
    </row>
    <row r="245" spans="1:12" x14ac:dyDescent="0.2">
      <c r="A245">
        <v>244</v>
      </c>
      <c r="B245" t="s">
        <v>327</v>
      </c>
      <c r="C245" t="s">
        <v>8</v>
      </c>
      <c r="D245" t="s">
        <v>8</v>
      </c>
      <c r="E245" t="s">
        <v>8</v>
      </c>
      <c r="F245" t="s">
        <v>1</v>
      </c>
      <c r="G245" t="s">
        <v>3</v>
      </c>
      <c r="H245" t="s">
        <v>136</v>
      </c>
      <c r="I245" t="s">
        <v>170</v>
      </c>
      <c r="J245" t="s">
        <v>6</v>
      </c>
      <c r="K245" t="s">
        <v>1</v>
      </c>
      <c r="L245" t="s">
        <v>3</v>
      </c>
    </row>
    <row r="246" spans="1:12" x14ac:dyDescent="0.2">
      <c r="A246">
        <v>243</v>
      </c>
      <c r="B246" t="s">
        <v>328</v>
      </c>
      <c r="C246" t="s">
        <v>8</v>
      </c>
      <c r="D246" t="s">
        <v>8</v>
      </c>
      <c r="E246" t="s">
        <v>8</v>
      </c>
      <c r="F246" t="s">
        <v>1</v>
      </c>
      <c r="G246" t="s">
        <v>3</v>
      </c>
      <c r="H246" t="s">
        <v>136</v>
      </c>
      <c r="I246" t="s">
        <v>170</v>
      </c>
      <c r="J246" t="s">
        <v>6</v>
      </c>
      <c r="K246" t="s">
        <v>1</v>
      </c>
      <c r="L246" t="s">
        <v>3</v>
      </c>
    </row>
    <row r="247" spans="1:12" x14ac:dyDescent="0.2">
      <c r="A247">
        <v>245</v>
      </c>
      <c r="B247" t="s">
        <v>329</v>
      </c>
      <c r="C247" t="s">
        <v>270</v>
      </c>
      <c r="D247" t="s">
        <v>271</v>
      </c>
      <c r="E247" t="s">
        <v>271</v>
      </c>
      <c r="F247" t="s">
        <v>32</v>
      </c>
      <c r="G247" t="s">
        <v>3</v>
      </c>
      <c r="H247" t="s">
        <v>139</v>
      </c>
      <c r="I247" t="s">
        <v>170</v>
      </c>
      <c r="J247" t="s">
        <v>6</v>
      </c>
      <c r="K247" t="s">
        <v>171</v>
      </c>
      <c r="L247" t="s">
        <v>3</v>
      </c>
    </row>
    <row r="248" spans="1:12" x14ac:dyDescent="0.2">
      <c r="A248">
        <v>246</v>
      </c>
      <c r="B248" t="s">
        <v>330</v>
      </c>
      <c r="C248" t="s">
        <v>15</v>
      </c>
      <c r="D248" t="s">
        <v>15</v>
      </c>
      <c r="E248" t="s">
        <v>15</v>
      </c>
      <c r="F248" t="s">
        <v>233</v>
      </c>
      <c r="G248" t="s">
        <v>3</v>
      </c>
      <c r="H248" t="s">
        <v>139</v>
      </c>
      <c r="I248" t="s">
        <v>170</v>
      </c>
      <c r="J248" t="s">
        <v>19</v>
      </c>
      <c r="K248" t="s">
        <v>171</v>
      </c>
      <c r="L248" t="s">
        <v>206</v>
      </c>
    </row>
    <row r="249" spans="1:12" x14ac:dyDescent="0.2">
      <c r="A249">
        <v>247</v>
      </c>
      <c r="B249" t="s">
        <v>331</v>
      </c>
      <c r="C249" t="s">
        <v>15</v>
      </c>
      <c r="D249" t="s">
        <v>222</v>
      </c>
      <c r="E249" t="s">
        <v>222</v>
      </c>
      <c r="F249" t="s">
        <v>40</v>
      </c>
      <c r="G249">
        <v>1</v>
      </c>
      <c r="H249" t="s">
        <v>139</v>
      </c>
      <c r="I249" t="s">
        <v>170</v>
      </c>
      <c r="J249" t="s">
        <v>19</v>
      </c>
      <c r="K249" t="s">
        <v>171</v>
      </c>
      <c r="L249" t="s">
        <v>206</v>
      </c>
    </row>
    <row r="250" spans="1:12" x14ac:dyDescent="0.2">
      <c r="A250">
        <v>248</v>
      </c>
      <c r="B250" t="s">
        <v>331</v>
      </c>
      <c r="C250" t="s">
        <v>15</v>
      </c>
      <c r="D250" t="s">
        <v>222</v>
      </c>
      <c r="E250" t="s">
        <v>222</v>
      </c>
      <c r="F250" t="s">
        <v>40</v>
      </c>
      <c r="G250">
        <v>1</v>
      </c>
      <c r="H250" t="s">
        <v>136</v>
      </c>
      <c r="I250" t="s">
        <v>170</v>
      </c>
      <c r="J250" t="s">
        <v>19</v>
      </c>
      <c r="K250" t="s">
        <v>171</v>
      </c>
      <c r="L250" t="s">
        <v>206</v>
      </c>
    </row>
    <row r="251" spans="1:12" x14ac:dyDescent="0.2">
      <c r="A251">
        <v>249</v>
      </c>
      <c r="B251" t="s">
        <v>332</v>
      </c>
      <c r="C251" t="s">
        <v>15</v>
      </c>
      <c r="D251" t="s">
        <v>15</v>
      </c>
      <c r="E251" t="s">
        <v>15</v>
      </c>
      <c r="F251" t="s">
        <v>233</v>
      </c>
      <c r="G251" t="s">
        <v>3</v>
      </c>
      <c r="H251" t="s">
        <v>139</v>
      </c>
      <c r="I251" t="s">
        <v>170</v>
      </c>
      <c r="J251" t="s">
        <v>19</v>
      </c>
      <c r="K251" t="s">
        <v>171</v>
      </c>
      <c r="L251" t="s">
        <v>206</v>
      </c>
    </row>
    <row r="252" spans="1:12" x14ac:dyDescent="0.2">
      <c r="A252">
        <v>252</v>
      </c>
      <c r="B252" t="s">
        <v>333</v>
      </c>
      <c r="C252" t="s">
        <v>187</v>
      </c>
      <c r="D252" t="s">
        <v>188</v>
      </c>
      <c r="E252" t="s">
        <v>188</v>
      </c>
      <c r="F252" t="s">
        <v>169</v>
      </c>
      <c r="G252" t="s">
        <v>3</v>
      </c>
      <c r="H252" t="s">
        <v>139</v>
      </c>
      <c r="I252" t="s">
        <v>170</v>
      </c>
      <c r="J252" t="s">
        <v>6</v>
      </c>
      <c r="K252" t="s">
        <v>189</v>
      </c>
      <c r="L252" t="s">
        <v>3</v>
      </c>
    </row>
    <row r="253" spans="1:12" x14ac:dyDescent="0.2">
      <c r="A253">
        <v>253</v>
      </c>
      <c r="B253" t="s">
        <v>334</v>
      </c>
      <c r="C253" t="s">
        <v>187</v>
      </c>
      <c r="D253" t="s">
        <v>188</v>
      </c>
      <c r="E253" t="s">
        <v>188</v>
      </c>
      <c r="F253" t="s">
        <v>169</v>
      </c>
      <c r="G253" t="s">
        <v>3</v>
      </c>
      <c r="H253" t="s">
        <v>136</v>
      </c>
      <c r="I253" t="s">
        <v>170</v>
      </c>
      <c r="J253" t="s">
        <v>6</v>
      </c>
      <c r="K253" t="s">
        <v>189</v>
      </c>
      <c r="L253" t="s">
        <v>3</v>
      </c>
    </row>
    <row r="254" spans="1:12" x14ac:dyDescent="0.2">
      <c r="A254">
        <v>250</v>
      </c>
      <c r="B254" t="s">
        <v>335</v>
      </c>
      <c r="C254" t="s">
        <v>187</v>
      </c>
      <c r="D254" t="s">
        <v>188</v>
      </c>
      <c r="E254" t="s">
        <v>188</v>
      </c>
      <c r="F254" t="s">
        <v>32</v>
      </c>
      <c r="G254" t="s">
        <v>3</v>
      </c>
      <c r="H254" t="s">
        <v>136</v>
      </c>
      <c r="I254" t="s">
        <v>170</v>
      </c>
      <c r="J254" t="s">
        <v>6</v>
      </c>
      <c r="K254" t="s">
        <v>189</v>
      </c>
      <c r="L254" t="s">
        <v>3</v>
      </c>
    </row>
    <row r="255" spans="1:12" x14ac:dyDescent="0.2">
      <c r="A255">
        <v>254</v>
      </c>
      <c r="B255" t="s">
        <v>336</v>
      </c>
      <c r="C255" t="s">
        <v>187</v>
      </c>
      <c r="D255" t="s">
        <v>188</v>
      </c>
      <c r="E255" t="s">
        <v>188</v>
      </c>
      <c r="F255" t="s">
        <v>32</v>
      </c>
      <c r="G255" t="s">
        <v>3</v>
      </c>
      <c r="H255" t="s">
        <v>136</v>
      </c>
      <c r="I255" t="s">
        <v>170</v>
      </c>
      <c r="J255" t="s">
        <v>6</v>
      </c>
      <c r="K255" t="s">
        <v>189</v>
      </c>
      <c r="L255" t="s">
        <v>3</v>
      </c>
    </row>
    <row r="256" spans="1:12" x14ac:dyDescent="0.2">
      <c r="A256">
        <v>251</v>
      </c>
      <c r="B256" t="s">
        <v>337</v>
      </c>
      <c r="C256" t="s">
        <v>187</v>
      </c>
      <c r="D256" t="s">
        <v>188</v>
      </c>
      <c r="E256" t="s">
        <v>188</v>
      </c>
      <c r="F256" t="s">
        <v>169</v>
      </c>
      <c r="G256" t="s">
        <v>3</v>
      </c>
      <c r="H256" t="s">
        <v>139</v>
      </c>
      <c r="I256" t="s">
        <v>170</v>
      </c>
      <c r="J256" t="s">
        <v>6</v>
      </c>
      <c r="K256" t="s">
        <v>189</v>
      </c>
      <c r="L256" t="s">
        <v>3</v>
      </c>
    </row>
    <row r="257" spans="1:12" x14ac:dyDescent="0.2">
      <c r="A257">
        <v>255</v>
      </c>
      <c r="B257" t="s">
        <v>338</v>
      </c>
      <c r="C257" t="s">
        <v>15</v>
      </c>
      <c r="D257" t="s">
        <v>15</v>
      </c>
      <c r="E257" t="s">
        <v>15</v>
      </c>
      <c r="F257" t="s">
        <v>32</v>
      </c>
      <c r="G257" t="s">
        <v>3</v>
      </c>
      <c r="H257" t="s">
        <v>136</v>
      </c>
      <c r="I257" t="s">
        <v>170</v>
      </c>
      <c r="J257" t="s">
        <v>6</v>
      </c>
      <c r="K257" t="s">
        <v>171</v>
      </c>
      <c r="L257" t="s">
        <v>3</v>
      </c>
    </row>
    <row r="258" spans="1:12" x14ac:dyDescent="0.2">
      <c r="A258">
        <v>257</v>
      </c>
      <c r="B258" t="s">
        <v>339</v>
      </c>
      <c r="C258" t="s">
        <v>15</v>
      </c>
      <c r="D258" t="s">
        <v>71</v>
      </c>
      <c r="E258" t="s">
        <v>71</v>
      </c>
      <c r="F258" t="s">
        <v>18</v>
      </c>
      <c r="G258">
        <v>1</v>
      </c>
      <c r="H258" t="s">
        <v>136</v>
      </c>
      <c r="I258" t="s">
        <v>170</v>
      </c>
      <c r="J258" t="s">
        <v>19</v>
      </c>
      <c r="K258" t="s">
        <v>12</v>
      </c>
      <c r="L258" t="s">
        <v>13</v>
      </c>
    </row>
    <row r="259" spans="1:12" x14ac:dyDescent="0.2">
      <c r="A259">
        <v>258</v>
      </c>
      <c r="B259" t="s">
        <v>340</v>
      </c>
      <c r="C259" t="s">
        <v>15</v>
      </c>
      <c r="D259" t="s">
        <v>222</v>
      </c>
      <c r="E259" t="s">
        <v>222</v>
      </c>
      <c r="F259" t="s">
        <v>18</v>
      </c>
      <c r="G259">
        <v>1</v>
      </c>
      <c r="H259" t="s">
        <v>139</v>
      </c>
      <c r="I259" t="s">
        <v>170</v>
      </c>
      <c r="J259" t="s">
        <v>19</v>
      </c>
      <c r="K259" t="s">
        <v>171</v>
      </c>
      <c r="L259" t="s">
        <v>206</v>
      </c>
    </row>
    <row r="260" spans="1:12" x14ac:dyDescent="0.2">
      <c r="A260">
        <v>259</v>
      </c>
      <c r="B260" t="s">
        <v>340</v>
      </c>
      <c r="C260" t="s">
        <v>15</v>
      </c>
      <c r="D260" t="s">
        <v>222</v>
      </c>
      <c r="E260" t="s">
        <v>222</v>
      </c>
      <c r="F260" t="s">
        <v>18</v>
      </c>
      <c r="G260">
        <v>1</v>
      </c>
      <c r="H260" t="s">
        <v>136</v>
      </c>
      <c r="I260" t="s">
        <v>170</v>
      </c>
      <c r="J260" t="s">
        <v>19</v>
      </c>
      <c r="K260" t="s">
        <v>171</v>
      </c>
      <c r="L260" t="s">
        <v>206</v>
      </c>
    </row>
    <row r="261" spans="1:12" x14ac:dyDescent="0.2">
      <c r="A261">
        <v>256</v>
      </c>
      <c r="B261" t="s">
        <v>341</v>
      </c>
      <c r="C261" t="s">
        <v>8</v>
      </c>
      <c r="D261" t="s">
        <v>8</v>
      </c>
      <c r="E261" t="s">
        <v>8</v>
      </c>
      <c r="F261" t="s">
        <v>1</v>
      </c>
      <c r="G261" t="s">
        <v>3</v>
      </c>
      <c r="H261" t="s">
        <v>136</v>
      </c>
      <c r="I261" t="s">
        <v>170</v>
      </c>
      <c r="J261" t="s">
        <v>6</v>
      </c>
      <c r="K261" t="s">
        <v>1</v>
      </c>
      <c r="L261" t="s">
        <v>3</v>
      </c>
    </row>
    <row r="262" spans="1:12" x14ac:dyDescent="0.2">
      <c r="A262">
        <v>264</v>
      </c>
      <c r="B262" t="s">
        <v>342</v>
      </c>
      <c r="C262" t="s">
        <v>8</v>
      </c>
      <c r="D262" t="s">
        <v>8</v>
      </c>
      <c r="E262" t="s">
        <v>8</v>
      </c>
      <c r="F262" t="s">
        <v>1</v>
      </c>
      <c r="G262" t="s">
        <v>3</v>
      </c>
      <c r="H262" t="s">
        <v>136</v>
      </c>
      <c r="I262" t="s">
        <v>170</v>
      </c>
      <c r="J262" t="s">
        <v>6</v>
      </c>
      <c r="K262" t="s">
        <v>1</v>
      </c>
      <c r="L262" t="s">
        <v>3</v>
      </c>
    </row>
    <row r="263" spans="1:12" x14ac:dyDescent="0.2">
      <c r="A263">
        <v>260</v>
      </c>
      <c r="B263" t="s">
        <v>343</v>
      </c>
      <c r="C263" t="s">
        <v>8</v>
      </c>
      <c r="D263" t="s">
        <v>8</v>
      </c>
      <c r="E263" t="s">
        <v>8</v>
      </c>
      <c r="F263" t="s">
        <v>1</v>
      </c>
      <c r="G263" t="s">
        <v>3</v>
      </c>
      <c r="H263" t="s">
        <v>136</v>
      </c>
      <c r="I263" t="s">
        <v>170</v>
      </c>
      <c r="J263" t="s">
        <v>6</v>
      </c>
      <c r="K263" t="s">
        <v>1</v>
      </c>
      <c r="L263" t="s">
        <v>3</v>
      </c>
    </row>
    <row r="264" spans="1:12" x14ac:dyDescent="0.2">
      <c r="A264">
        <v>261</v>
      </c>
      <c r="B264" t="s">
        <v>344</v>
      </c>
      <c r="C264" t="s">
        <v>8</v>
      </c>
      <c r="D264" t="s">
        <v>8</v>
      </c>
      <c r="E264" t="s">
        <v>8</v>
      </c>
      <c r="F264" t="s">
        <v>1</v>
      </c>
      <c r="G264" t="s">
        <v>3</v>
      </c>
      <c r="H264" t="s">
        <v>136</v>
      </c>
      <c r="I264" t="s">
        <v>170</v>
      </c>
      <c r="J264" t="s">
        <v>6</v>
      </c>
      <c r="K264" t="s">
        <v>1</v>
      </c>
      <c r="L264" t="s">
        <v>3</v>
      </c>
    </row>
    <row r="265" spans="1:12" x14ac:dyDescent="0.2">
      <c r="A265">
        <v>262</v>
      </c>
      <c r="B265" t="s">
        <v>345</v>
      </c>
      <c r="C265" t="s">
        <v>8</v>
      </c>
      <c r="D265" t="s">
        <v>8</v>
      </c>
      <c r="E265" t="s">
        <v>8</v>
      </c>
      <c r="F265" t="s">
        <v>1</v>
      </c>
      <c r="G265" t="s">
        <v>3</v>
      </c>
      <c r="H265" t="s">
        <v>136</v>
      </c>
      <c r="I265" t="s">
        <v>170</v>
      </c>
      <c r="J265" t="s">
        <v>6</v>
      </c>
      <c r="K265" t="s">
        <v>1</v>
      </c>
      <c r="L265" t="s">
        <v>3</v>
      </c>
    </row>
    <row r="266" spans="1:12" x14ac:dyDescent="0.2">
      <c r="A266">
        <v>263</v>
      </c>
      <c r="B266" t="s">
        <v>346</v>
      </c>
      <c r="C266" t="s">
        <v>8</v>
      </c>
      <c r="D266" t="s">
        <v>8</v>
      </c>
      <c r="E266" t="s">
        <v>8</v>
      </c>
      <c r="F266" t="s">
        <v>1</v>
      </c>
      <c r="G266" t="s">
        <v>3</v>
      </c>
      <c r="H266" t="s">
        <v>136</v>
      </c>
      <c r="I266" t="s">
        <v>170</v>
      </c>
      <c r="J266" t="s">
        <v>6</v>
      </c>
      <c r="K266" t="s">
        <v>1</v>
      </c>
      <c r="L266" t="s">
        <v>3</v>
      </c>
    </row>
    <row r="267" spans="1:12" x14ac:dyDescent="0.2">
      <c r="A267">
        <v>265</v>
      </c>
      <c r="B267" t="s">
        <v>347</v>
      </c>
      <c r="C267" t="s">
        <v>15</v>
      </c>
      <c r="D267" t="s">
        <v>15</v>
      </c>
      <c r="E267" t="s">
        <v>15</v>
      </c>
      <c r="F267" t="s">
        <v>233</v>
      </c>
      <c r="G267" t="s">
        <v>3</v>
      </c>
      <c r="H267" t="s">
        <v>139</v>
      </c>
      <c r="I267" t="s">
        <v>170</v>
      </c>
      <c r="J267" t="s">
        <v>19</v>
      </c>
      <c r="K267" t="s">
        <v>171</v>
      </c>
      <c r="L267" t="s">
        <v>206</v>
      </c>
    </row>
    <row r="268" spans="1:12" x14ac:dyDescent="0.2">
      <c r="A268">
        <v>266</v>
      </c>
      <c r="B268" t="s">
        <v>348</v>
      </c>
      <c r="C268" t="s">
        <v>15</v>
      </c>
      <c r="D268" t="s">
        <v>15</v>
      </c>
      <c r="E268" t="s">
        <v>15</v>
      </c>
      <c r="F268" t="s">
        <v>32</v>
      </c>
      <c r="G268" t="s">
        <v>3</v>
      </c>
      <c r="H268" t="s">
        <v>136</v>
      </c>
      <c r="I268" t="s">
        <v>170</v>
      </c>
      <c r="J268" t="s">
        <v>6</v>
      </c>
      <c r="K268" t="s">
        <v>171</v>
      </c>
      <c r="L268" t="s">
        <v>3</v>
      </c>
    </row>
    <row r="269" spans="1:12" x14ac:dyDescent="0.2">
      <c r="A269">
        <v>267</v>
      </c>
      <c r="B269" t="s">
        <v>349</v>
      </c>
      <c r="C269" t="s">
        <v>350</v>
      </c>
      <c r="D269" t="s">
        <v>351</v>
      </c>
      <c r="E269" t="s">
        <v>351</v>
      </c>
      <c r="F269" t="s">
        <v>32</v>
      </c>
      <c r="G269" t="s">
        <v>3</v>
      </c>
      <c r="H269" t="s">
        <v>136</v>
      </c>
      <c r="I269" t="s">
        <v>170</v>
      </c>
      <c r="J269" t="s">
        <v>6</v>
      </c>
      <c r="K269" t="s">
        <v>171</v>
      </c>
      <c r="L269" t="s">
        <v>3</v>
      </c>
    </row>
    <row r="270" spans="1:12" x14ac:dyDescent="0.2">
      <c r="A270">
        <v>268</v>
      </c>
      <c r="B270" t="s">
        <v>352</v>
      </c>
      <c r="C270" t="s">
        <v>350</v>
      </c>
      <c r="D270" t="s">
        <v>351</v>
      </c>
      <c r="E270" t="s">
        <v>351</v>
      </c>
      <c r="F270" t="s">
        <v>32</v>
      </c>
      <c r="G270" t="s">
        <v>3</v>
      </c>
      <c r="H270" t="s">
        <v>136</v>
      </c>
      <c r="I270" t="s">
        <v>170</v>
      </c>
      <c r="J270" t="s">
        <v>6</v>
      </c>
      <c r="K270" t="s">
        <v>171</v>
      </c>
      <c r="L270" t="s">
        <v>3</v>
      </c>
    </row>
    <row r="271" spans="1:12" x14ac:dyDescent="0.2">
      <c r="A271">
        <v>269</v>
      </c>
      <c r="B271" t="s">
        <v>353</v>
      </c>
      <c r="C271" t="s">
        <v>350</v>
      </c>
      <c r="D271" t="s">
        <v>351</v>
      </c>
      <c r="E271" t="s">
        <v>351</v>
      </c>
      <c r="F271" t="s">
        <v>32</v>
      </c>
      <c r="G271" t="s">
        <v>3</v>
      </c>
      <c r="H271" t="s">
        <v>4</v>
      </c>
      <c r="I271" t="s">
        <v>170</v>
      </c>
      <c r="J271" t="s">
        <v>6</v>
      </c>
      <c r="K271" t="s">
        <v>171</v>
      </c>
      <c r="L271" t="s">
        <v>3</v>
      </c>
    </row>
    <row r="272" spans="1:12" x14ac:dyDescent="0.2">
      <c r="A272">
        <v>270</v>
      </c>
      <c r="B272" t="s">
        <v>354</v>
      </c>
      <c r="C272" t="s">
        <v>350</v>
      </c>
      <c r="D272" t="s">
        <v>351</v>
      </c>
      <c r="E272" t="s">
        <v>351</v>
      </c>
      <c r="F272" t="s">
        <v>32</v>
      </c>
      <c r="G272" t="s">
        <v>3</v>
      </c>
      <c r="H272" t="s">
        <v>136</v>
      </c>
      <c r="I272" t="s">
        <v>170</v>
      </c>
      <c r="J272" t="s">
        <v>6</v>
      </c>
      <c r="K272" t="s">
        <v>171</v>
      </c>
      <c r="L272" t="s">
        <v>3</v>
      </c>
    </row>
    <row r="273" spans="1:12" x14ac:dyDescent="0.2">
      <c r="A273">
        <v>271</v>
      </c>
      <c r="B273" t="s">
        <v>355</v>
      </c>
      <c r="C273" t="s">
        <v>350</v>
      </c>
      <c r="D273" t="s">
        <v>351</v>
      </c>
      <c r="E273" t="s">
        <v>351</v>
      </c>
      <c r="F273" t="s">
        <v>1</v>
      </c>
      <c r="G273" t="s">
        <v>3</v>
      </c>
      <c r="H273" t="s">
        <v>136</v>
      </c>
      <c r="I273" t="s">
        <v>170</v>
      </c>
      <c r="J273" t="s">
        <v>6</v>
      </c>
      <c r="K273" t="s">
        <v>171</v>
      </c>
      <c r="L273" t="s">
        <v>3</v>
      </c>
    </row>
    <row r="274" spans="1:12" x14ac:dyDescent="0.2">
      <c r="A274">
        <v>272</v>
      </c>
      <c r="B274" t="s">
        <v>356</v>
      </c>
      <c r="C274" t="s">
        <v>350</v>
      </c>
      <c r="D274" t="s">
        <v>351</v>
      </c>
      <c r="E274" t="s">
        <v>351</v>
      </c>
      <c r="F274" t="s">
        <v>1</v>
      </c>
      <c r="G274" t="s">
        <v>3</v>
      </c>
      <c r="H274" t="s">
        <v>136</v>
      </c>
      <c r="I274" t="s">
        <v>170</v>
      </c>
      <c r="J274" t="s">
        <v>6</v>
      </c>
      <c r="K274" t="s">
        <v>171</v>
      </c>
      <c r="L274" t="s">
        <v>3</v>
      </c>
    </row>
    <row r="275" spans="1:12" x14ac:dyDescent="0.2">
      <c r="A275">
        <v>273</v>
      </c>
      <c r="B275" t="s">
        <v>357</v>
      </c>
      <c r="C275" t="s">
        <v>350</v>
      </c>
      <c r="D275" t="s">
        <v>351</v>
      </c>
      <c r="E275" t="s">
        <v>351</v>
      </c>
      <c r="F275" t="s">
        <v>40</v>
      </c>
      <c r="G275">
        <v>1</v>
      </c>
      <c r="H275" t="s">
        <v>136</v>
      </c>
      <c r="I275" t="s">
        <v>170</v>
      </c>
      <c r="J275" t="s">
        <v>19</v>
      </c>
      <c r="K275" t="s">
        <v>171</v>
      </c>
      <c r="L275" t="s">
        <v>172</v>
      </c>
    </row>
    <row r="276" spans="1:12" x14ac:dyDescent="0.2">
      <c r="A276">
        <v>274</v>
      </c>
      <c r="B276" t="s">
        <v>358</v>
      </c>
      <c r="C276" t="s">
        <v>350</v>
      </c>
      <c r="D276" t="s">
        <v>351</v>
      </c>
      <c r="E276" t="s">
        <v>351</v>
      </c>
      <c r="F276" t="s">
        <v>18</v>
      </c>
      <c r="G276">
        <v>1</v>
      </c>
      <c r="H276" t="s">
        <v>136</v>
      </c>
      <c r="I276" t="s">
        <v>170</v>
      </c>
      <c r="J276" t="s">
        <v>19</v>
      </c>
      <c r="K276" t="s">
        <v>171</v>
      </c>
      <c r="L276" t="s">
        <v>172</v>
      </c>
    </row>
    <row r="277" spans="1:12" x14ac:dyDescent="0.2">
      <c r="A277">
        <v>275</v>
      </c>
      <c r="B277" t="s">
        <v>359</v>
      </c>
      <c r="C277" t="s">
        <v>350</v>
      </c>
      <c r="D277" t="s">
        <v>351</v>
      </c>
      <c r="E277" t="s">
        <v>351</v>
      </c>
      <c r="F277" t="s">
        <v>40</v>
      </c>
      <c r="G277">
        <v>1</v>
      </c>
      <c r="H277" t="s">
        <v>136</v>
      </c>
      <c r="I277" t="s">
        <v>170</v>
      </c>
      <c r="J277" t="s">
        <v>19</v>
      </c>
      <c r="K277" t="s">
        <v>171</v>
      </c>
      <c r="L277" t="s">
        <v>172</v>
      </c>
    </row>
    <row r="278" spans="1:12" x14ac:dyDescent="0.2">
      <c r="A278">
        <v>276</v>
      </c>
      <c r="B278" t="s">
        <v>360</v>
      </c>
      <c r="C278" t="s">
        <v>350</v>
      </c>
      <c r="D278" t="s">
        <v>351</v>
      </c>
      <c r="E278" t="s">
        <v>351</v>
      </c>
      <c r="F278" t="s">
        <v>18</v>
      </c>
      <c r="G278">
        <v>1</v>
      </c>
      <c r="H278" t="s">
        <v>136</v>
      </c>
      <c r="I278" t="s">
        <v>170</v>
      </c>
      <c r="J278" t="s">
        <v>19</v>
      </c>
      <c r="K278" t="s">
        <v>171</v>
      </c>
      <c r="L278" t="s">
        <v>172</v>
      </c>
    </row>
    <row r="279" spans="1:12" x14ac:dyDescent="0.2">
      <c r="A279">
        <v>277</v>
      </c>
      <c r="B279" t="s">
        <v>361</v>
      </c>
      <c r="C279" t="s">
        <v>350</v>
      </c>
      <c r="D279" t="s">
        <v>351</v>
      </c>
      <c r="E279" t="s">
        <v>351</v>
      </c>
      <c r="F279" t="s">
        <v>40</v>
      </c>
      <c r="G279">
        <v>1</v>
      </c>
      <c r="H279" t="s">
        <v>136</v>
      </c>
      <c r="I279" t="s">
        <v>170</v>
      </c>
      <c r="J279" t="s">
        <v>19</v>
      </c>
      <c r="K279" t="s">
        <v>171</v>
      </c>
      <c r="L279" t="s">
        <v>172</v>
      </c>
    </row>
    <row r="280" spans="1:12" x14ac:dyDescent="0.2">
      <c r="A280">
        <v>278</v>
      </c>
      <c r="B280" t="s">
        <v>362</v>
      </c>
      <c r="C280" t="s">
        <v>350</v>
      </c>
      <c r="D280" t="s">
        <v>351</v>
      </c>
      <c r="E280" t="s">
        <v>351</v>
      </c>
      <c r="F280" t="s">
        <v>18</v>
      </c>
      <c r="G280">
        <v>1</v>
      </c>
      <c r="H280" t="s">
        <v>136</v>
      </c>
      <c r="I280" t="s">
        <v>170</v>
      </c>
      <c r="J280" t="s">
        <v>19</v>
      </c>
      <c r="K280" t="s">
        <v>171</v>
      </c>
      <c r="L280" t="s">
        <v>172</v>
      </c>
    </row>
    <row r="281" spans="1:12" x14ac:dyDescent="0.2">
      <c r="A281">
        <v>279</v>
      </c>
      <c r="B281" t="s">
        <v>363</v>
      </c>
      <c r="C281" t="s">
        <v>15</v>
      </c>
      <c r="D281" t="s">
        <v>15</v>
      </c>
      <c r="E281" t="s">
        <v>15</v>
      </c>
      <c r="F281" t="s">
        <v>169</v>
      </c>
      <c r="G281" t="s">
        <v>3</v>
      </c>
      <c r="H281" t="s">
        <v>136</v>
      </c>
      <c r="I281" t="s">
        <v>170</v>
      </c>
      <c r="J281" t="s">
        <v>6</v>
      </c>
      <c r="K281" t="s">
        <v>171</v>
      </c>
      <c r="L281" t="s">
        <v>3</v>
      </c>
    </row>
    <row r="282" spans="1:12" x14ac:dyDescent="0.2">
      <c r="A282">
        <v>280</v>
      </c>
      <c r="B282" t="s">
        <v>364</v>
      </c>
      <c r="C282" t="s">
        <v>15</v>
      </c>
      <c r="D282" t="s">
        <v>15</v>
      </c>
      <c r="E282" t="s">
        <v>15</v>
      </c>
      <c r="F282" t="s">
        <v>169</v>
      </c>
      <c r="G282" t="s">
        <v>3</v>
      </c>
      <c r="H282" t="s">
        <v>139</v>
      </c>
      <c r="I282" t="s">
        <v>170</v>
      </c>
      <c r="J282" t="s">
        <v>6</v>
      </c>
      <c r="K282" t="s">
        <v>171</v>
      </c>
      <c r="L282" t="s">
        <v>3</v>
      </c>
    </row>
    <row r="283" spans="1:12" x14ac:dyDescent="0.2">
      <c r="A283">
        <v>283</v>
      </c>
      <c r="B283" t="s">
        <v>365</v>
      </c>
      <c r="C283" t="s">
        <v>167</v>
      </c>
      <c r="D283" t="s">
        <v>168</v>
      </c>
      <c r="E283" t="s">
        <v>168</v>
      </c>
      <c r="F283" t="s">
        <v>169</v>
      </c>
      <c r="G283" t="s">
        <v>3</v>
      </c>
      <c r="H283" t="s">
        <v>139</v>
      </c>
      <c r="I283" t="s">
        <v>170</v>
      </c>
      <c r="J283" t="s">
        <v>6</v>
      </c>
      <c r="K283" t="s">
        <v>171</v>
      </c>
      <c r="L283" t="s">
        <v>3</v>
      </c>
    </row>
    <row r="284" spans="1:12" x14ac:dyDescent="0.2">
      <c r="A284">
        <v>284</v>
      </c>
      <c r="B284" t="s">
        <v>366</v>
      </c>
      <c r="C284" t="s">
        <v>167</v>
      </c>
      <c r="D284" t="s">
        <v>168</v>
      </c>
      <c r="E284" t="s">
        <v>168</v>
      </c>
      <c r="F284" t="s">
        <v>169</v>
      </c>
      <c r="G284" t="s">
        <v>3</v>
      </c>
      <c r="H284" t="s">
        <v>139</v>
      </c>
      <c r="I284" t="s">
        <v>170</v>
      </c>
      <c r="J284" t="s">
        <v>6</v>
      </c>
      <c r="K284" t="s">
        <v>171</v>
      </c>
      <c r="L284" t="s">
        <v>3</v>
      </c>
    </row>
    <row r="285" spans="1:12" x14ac:dyDescent="0.2">
      <c r="A285">
        <v>281</v>
      </c>
      <c r="B285" t="s">
        <v>367</v>
      </c>
      <c r="C285" t="s">
        <v>167</v>
      </c>
      <c r="D285" t="s">
        <v>168</v>
      </c>
      <c r="E285" t="s">
        <v>168</v>
      </c>
      <c r="F285" t="s">
        <v>32</v>
      </c>
      <c r="G285" t="s">
        <v>3</v>
      </c>
      <c r="H285" t="s">
        <v>136</v>
      </c>
      <c r="I285" t="s">
        <v>170</v>
      </c>
      <c r="J285" t="s">
        <v>6</v>
      </c>
      <c r="K285" t="s">
        <v>171</v>
      </c>
      <c r="L285" t="s">
        <v>3</v>
      </c>
    </row>
    <row r="286" spans="1:12" x14ac:dyDescent="0.2">
      <c r="A286">
        <v>285</v>
      </c>
      <c r="B286" t="s">
        <v>368</v>
      </c>
      <c r="C286" t="s">
        <v>167</v>
      </c>
      <c r="D286" t="s">
        <v>168</v>
      </c>
      <c r="E286" t="s">
        <v>168</v>
      </c>
      <c r="F286" t="s">
        <v>169</v>
      </c>
      <c r="G286" t="s">
        <v>3</v>
      </c>
      <c r="H286" t="s">
        <v>136</v>
      </c>
      <c r="I286" t="s">
        <v>170</v>
      </c>
      <c r="J286" t="s">
        <v>6</v>
      </c>
      <c r="K286" t="s">
        <v>171</v>
      </c>
      <c r="L286" t="s">
        <v>3</v>
      </c>
    </row>
    <row r="287" spans="1:12" x14ac:dyDescent="0.2">
      <c r="A287">
        <v>282</v>
      </c>
      <c r="B287" t="s">
        <v>369</v>
      </c>
      <c r="C287" t="s">
        <v>167</v>
      </c>
      <c r="D287" t="s">
        <v>168</v>
      </c>
      <c r="E287" t="s">
        <v>168</v>
      </c>
      <c r="F287" t="s">
        <v>169</v>
      </c>
      <c r="G287" t="s">
        <v>3</v>
      </c>
      <c r="H287" t="s">
        <v>139</v>
      </c>
      <c r="I287" t="s">
        <v>170</v>
      </c>
      <c r="J287" t="s">
        <v>6</v>
      </c>
      <c r="K287" t="s">
        <v>171</v>
      </c>
      <c r="L287" t="s">
        <v>3</v>
      </c>
    </row>
    <row r="288" spans="1:12" x14ac:dyDescent="0.2">
      <c r="A288">
        <v>287</v>
      </c>
      <c r="B288" t="s">
        <v>370</v>
      </c>
      <c r="C288" t="s">
        <v>167</v>
      </c>
      <c r="D288" t="s">
        <v>168</v>
      </c>
      <c r="E288" t="s">
        <v>168</v>
      </c>
      <c r="F288" t="s">
        <v>169</v>
      </c>
      <c r="G288" t="s">
        <v>3</v>
      </c>
      <c r="H288" t="s">
        <v>139</v>
      </c>
      <c r="I288" t="s">
        <v>170</v>
      </c>
      <c r="J288" t="s">
        <v>6</v>
      </c>
      <c r="K288" t="s">
        <v>171</v>
      </c>
      <c r="L288" t="s">
        <v>3</v>
      </c>
    </row>
    <row r="289" spans="1:12" x14ac:dyDescent="0.2">
      <c r="A289">
        <v>288</v>
      </c>
      <c r="B289" t="s">
        <v>371</v>
      </c>
      <c r="C289" t="s">
        <v>167</v>
      </c>
      <c r="D289" t="s">
        <v>168</v>
      </c>
      <c r="E289" t="s">
        <v>168</v>
      </c>
      <c r="F289" t="s">
        <v>169</v>
      </c>
      <c r="G289" t="s">
        <v>3</v>
      </c>
      <c r="H289" t="s">
        <v>139</v>
      </c>
      <c r="I289" t="s">
        <v>170</v>
      </c>
      <c r="J289" t="s">
        <v>6</v>
      </c>
      <c r="K289" t="s">
        <v>171</v>
      </c>
      <c r="L289" t="s">
        <v>3</v>
      </c>
    </row>
    <row r="290" spans="1:12" x14ac:dyDescent="0.2">
      <c r="A290">
        <v>289</v>
      </c>
      <c r="B290" t="s">
        <v>372</v>
      </c>
      <c r="C290" t="s">
        <v>167</v>
      </c>
      <c r="D290" t="s">
        <v>168</v>
      </c>
      <c r="E290" t="s">
        <v>168</v>
      </c>
      <c r="F290" t="s">
        <v>32</v>
      </c>
      <c r="G290" t="s">
        <v>3</v>
      </c>
      <c r="H290" t="s">
        <v>136</v>
      </c>
      <c r="I290" t="s">
        <v>170</v>
      </c>
      <c r="J290" t="s">
        <v>6</v>
      </c>
      <c r="K290" t="s">
        <v>171</v>
      </c>
      <c r="L290" t="s">
        <v>3</v>
      </c>
    </row>
    <row r="291" spans="1:12" x14ac:dyDescent="0.2">
      <c r="A291">
        <v>290</v>
      </c>
      <c r="B291" t="s">
        <v>373</v>
      </c>
      <c r="C291" t="s">
        <v>167</v>
      </c>
      <c r="D291" t="s">
        <v>168</v>
      </c>
      <c r="E291" t="s">
        <v>168</v>
      </c>
      <c r="F291" t="s">
        <v>169</v>
      </c>
      <c r="G291" t="s">
        <v>3</v>
      </c>
      <c r="H291" t="s">
        <v>136</v>
      </c>
      <c r="I291" t="s">
        <v>170</v>
      </c>
      <c r="J291" t="s">
        <v>6</v>
      </c>
      <c r="K291" t="s">
        <v>171</v>
      </c>
      <c r="L291" t="s">
        <v>3</v>
      </c>
    </row>
    <row r="292" spans="1:12" x14ac:dyDescent="0.2">
      <c r="A292">
        <v>286</v>
      </c>
      <c r="B292" t="s">
        <v>374</v>
      </c>
      <c r="C292" t="s">
        <v>167</v>
      </c>
      <c r="D292" t="s">
        <v>168</v>
      </c>
      <c r="E292" t="s">
        <v>168</v>
      </c>
      <c r="F292" t="s">
        <v>169</v>
      </c>
      <c r="G292" t="s">
        <v>3</v>
      </c>
      <c r="H292" t="s">
        <v>139</v>
      </c>
      <c r="I292" t="s">
        <v>170</v>
      </c>
      <c r="J292" t="s">
        <v>6</v>
      </c>
      <c r="K292" t="s">
        <v>171</v>
      </c>
      <c r="L292" t="s">
        <v>3</v>
      </c>
    </row>
    <row r="293" spans="1:12" x14ac:dyDescent="0.2">
      <c r="A293">
        <v>295</v>
      </c>
      <c r="B293" t="s">
        <v>375</v>
      </c>
      <c r="C293" t="s">
        <v>8</v>
      </c>
      <c r="D293" t="s">
        <v>8</v>
      </c>
      <c r="E293" t="s">
        <v>8</v>
      </c>
      <c r="F293" t="s">
        <v>1</v>
      </c>
      <c r="G293" t="s">
        <v>3</v>
      </c>
      <c r="H293" t="s">
        <v>139</v>
      </c>
      <c r="I293" t="s">
        <v>170</v>
      </c>
      <c r="J293" t="s">
        <v>6</v>
      </c>
      <c r="K293" t="s">
        <v>1</v>
      </c>
      <c r="L293" t="s">
        <v>3</v>
      </c>
    </row>
    <row r="294" spans="1:12" x14ac:dyDescent="0.2">
      <c r="A294">
        <v>291</v>
      </c>
      <c r="B294" t="s">
        <v>376</v>
      </c>
      <c r="C294" t="s">
        <v>8</v>
      </c>
      <c r="D294" t="s">
        <v>8</v>
      </c>
      <c r="E294" t="s">
        <v>8</v>
      </c>
      <c r="F294" t="s">
        <v>1</v>
      </c>
      <c r="G294" t="s">
        <v>3</v>
      </c>
      <c r="H294" t="s">
        <v>136</v>
      </c>
      <c r="I294" t="s">
        <v>170</v>
      </c>
      <c r="J294" t="s">
        <v>6</v>
      </c>
      <c r="K294" t="s">
        <v>1</v>
      </c>
      <c r="L294" t="s">
        <v>3</v>
      </c>
    </row>
    <row r="295" spans="1:12" x14ac:dyDescent="0.2">
      <c r="A295">
        <v>296</v>
      </c>
      <c r="B295" t="s">
        <v>377</v>
      </c>
      <c r="C295" t="s">
        <v>221</v>
      </c>
      <c r="D295" t="s">
        <v>222</v>
      </c>
      <c r="E295" t="s">
        <v>222</v>
      </c>
      <c r="F295" t="s">
        <v>40</v>
      </c>
      <c r="G295">
        <v>1</v>
      </c>
      <c r="H295" t="s">
        <v>136</v>
      </c>
      <c r="I295" t="s">
        <v>170</v>
      </c>
      <c r="J295" t="s">
        <v>19</v>
      </c>
      <c r="K295" t="s">
        <v>171</v>
      </c>
      <c r="L295" t="s">
        <v>206</v>
      </c>
    </row>
    <row r="296" spans="1:12" x14ac:dyDescent="0.2">
      <c r="A296">
        <v>297</v>
      </c>
      <c r="B296" t="s">
        <v>378</v>
      </c>
      <c r="C296" t="s">
        <v>221</v>
      </c>
      <c r="D296" t="s">
        <v>222</v>
      </c>
      <c r="E296" t="s">
        <v>222</v>
      </c>
      <c r="F296" t="s">
        <v>18</v>
      </c>
      <c r="G296">
        <v>1</v>
      </c>
      <c r="H296" t="s">
        <v>136</v>
      </c>
      <c r="I296" t="s">
        <v>170</v>
      </c>
      <c r="J296" t="s">
        <v>19</v>
      </c>
      <c r="K296" t="s">
        <v>171</v>
      </c>
      <c r="L296" t="s">
        <v>206</v>
      </c>
    </row>
    <row r="297" spans="1:12" x14ac:dyDescent="0.2">
      <c r="A297">
        <v>292</v>
      </c>
      <c r="B297" t="s">
        <v>379</v>
      </c>
      <c r="C297" t="s">
        <v>236</v>
      </c>
      <c r="D297" t="s">
        <v>236</v>
      </c>
      <c r="E297" t="s">
        <v>236</v>
      </c>
      <c r="F297" t="s">
        <v>169</v>
      </c>
      <c r="G297" t="s">
        <v>3</v>
      </c>
      <c r="H297" t="s">
        <v>139</v>
      </c>
      <c r="I297" t="s">
        <v>170</v>
      </c>
      <c r="J297" t="s">
        <v>6</v>
      </c>
      <c r="K297" t="s">
        <v>171</v>
      </c>
      <c r="L297" t="s">
        <v>172</v>
      </c>
    </row>
    <row r="298" spans="1:12" x14ac:dyDescent="0.2">
      <c r="A298">
        <v>293</v>
      </c>
      <c r="B298" t="s">
        <v>380</v>
      </c>
      <c r="C298" t="s">
        <v>236</v>
      </c>
      <c r="D298" t="s">
        <v>236</v>
      </c>
      <c r="E298" t="s">
        <v>236</v>
      </c>
      <c r="F298" t="s">
        <v>32</v>
      </c>
      <c r="G298" t="s">
        <v>3</v>
      </c>
      <c r="H298" t="s">
        <v>139</v>
      </c>
      <c r="I298" t="s">
        <v>170</v>
      </c>
      <c r="J298" t="s">
        <v>6</v>
      </c>
      <c r="K298" t="s">
        <v>171</v>
      </c>
      <c r="L298" t="s">
        <v>3</v>
      </c>
    </row>
    <row r="299" spans="1:12" x14ac:dyDescent="0.2">
      <c r="A299">
        <v>294</v>
      </c>
      <c r="B299" t="s">
        <v>381</v>
      </c>
      <c r="C299" t="s">
        <v>15</v>
      </c>
      <c r="D299" t="s">
        <v>15</v>
      </c>
      <c r="E299" t="s">
        <v>15</v>
      </c>
      <c r="F299" t="s">
        <v>233</v>
      </c>
      <c r="G299" t="s">
        <v>3</v>
      </c>
      <c r="H299" t="s">
        <v>139</v>
      </c>
      <c r="I299" t="s">
        <v>170</v>
      </c>
      <c r="J299" t="s">
        <v>19</v>
      </c>
      <c r="K299" t="s">
        <v>171</v>
      </c>
      <c r="L299" t="s">
        <v>206</v>
      </c>
    </row>
    <row r="300" spans="1:12" x14ac:dyDescent="0.2">
      <c r="A300">
        <v>298</v>
      </c>
      <c r="B300" t="s">
        <v>382</v>
      </c>
      <c r="C300" t="s">
        <v>15</v>
      </c>
      <c r="D300" t="s">
        <v>15</v>
      </c>
      <c r="E300" t="s">
        <v>15</v>
      </c>
      <c r="F300" t="s">
        <v>169</v>
      </c>
      <c r="G300" t="s">
        <v>3</v>
      </c>
      <c r="H300" t="s">
        <v>139</v>
      </c>
      <c r="I300" t="s">
        <v>170</v>
      </c>
      <c r="J300" t="s">
        <v>6</v>
      </c>
      <c r="K300" t="s">
        <v>171</v>
      </c>
      <c r="L300" t="s">
        <v>3</v>
      </c>
    </row>
    <row r="301" spans="1:12" x14ac:dyDescent="0.2">
      <c r="A301">
        <v>299</v>
      </c>
      <c r="B301" t="s">
        <v>383</v>
      </c>
      <c r="C301" t="s">
        <v>15</v>
      </c>
      <c r="D301" t="s">
        <v>15</v>
      </c>
      <c r="E301" t="s">
        <v>15</v>
      </c>
      <c r="F301" t="s">
        <v>233</v>
      </c>
      <c r="G301" t="s">
        <v>3</v>
      </c>
      <c r="H301" t="s">
        <v>136</v>
      </c>
      <c r="I301" t="s">
        <v>170</v>
      </c>
      <c r="J301" t="s">
        <v>19</v>
      </c>
      <c r="K301" t="s">
        <v>171</v>
      </c>
      <c r="L301" t="s">
        <v>206</v>
      </c>
    </row>
    <row r="302" spans="1:12" x14ac:dyDescent="0.2">
      <c r="A302">
        <v>300</v>
      </c>
      <c r="B302" t="s">
        <v>384</v>
      </c>
      <c r="C302" t="s">
        <v>15</v>
      </c>
      <c r="D302" t="s">
        <v>15</v>
      </c>
      <c r="E302" t="s">
        <v>15</v>
      </c>
      <c r="F302" t="s">
        <v>32</v>
      </c>
      <c r="G302" t="s">
        <v>3</v>
      </c>
      <c r="H302" t="s">
        <v>136</v>
      </c>
      <c r="I302" t="s">
        <v>170</v>
      </c>
      <c r="J302" t="s">
        <v>6</v>
      </c>
      <c r="K302" t="s">
        <v>12</v>
      </c>
      <c r="L302" t="s">
        <v>3</v>
      </c>
    </row>
    <row r="303" spans="1:12" x14ac:dyDescent="0.2">
      <c r="A303">
        <v>302</v>
      </c>
      <c r="B303" t="s">
        <v>385</v>
      </c>
      <c r="C303" t="s">
        <v>15</v>
      </c>
      <c r="D303" t="s">
        <v>71</v>
      </c>
      <c r="E303" t="s">
        <v>71</v>
      </c>
      <c r="F303" t="s">
        <v>32</v>
      </c>
      <c r="G303" t="s">
        <v>3</v>
      </c>
      <c r="H303" t="s">
        <v>136</v>
      </c>
      <c r="I303" t="s">
        <v>170</v>
      </c>
      <c r="J303" t="s">
        <v>6</v>
      </c>
      <c r="K303" t="s">
        <v>12</v>
      </c>
      <c r="L303" t="s">
        <v>3</v>
      </c>
    </row>
    <row r="304" spans="1:12" x14ac:dyDescent="0.2">
      <c r="A304">
        <v>303</v>
      </c>
      <c r="B304" t="s">
        <v>386</v>
      </c>
      <c r="C304" t="s">
        <v>15</v>
      </c>
      <c r="D304" t="s">
        <v>71</v>
      </c>
      <c r="E304" t="s">
        <v>71</v>
      </c>
      <c r="F304" t="s">
        <v>169</v>
      </c>
      <c r="G304" t="s">
        <v>3</v>
      </c>
      <c r="H304" t="s">
        <v>139</v>
      </c>
      <c r="I304" t="s">
        <v>170</v>
      </c>
      <c r="J304" t="s">
        <v>6</v>
      </c>
      <c r="K304" t="s">
        <v>12</v>
      </c>
      <c r="L304" t="s">
        <v>3</v>
      </c>
    </row>
    <row r="305" spans="1:12" x14ac:dyDescent="0.2">
      <c r="A305">
        <v>301</v>
      </c>
      <c r="B305" t="s">
        <v>387</v>
      </c>
      <c r="C305" t="s">
        <v>15</v>
      </c>
      <c r="D305" t="s">
        <v>71</v>
      </c>
      <c r="E305" t="s">
        <v>71</v>
      </c>
      <c r="F305" t="s">
        <v>40</v>
      </c>
      <c r="G305">
        <v>1</v>
      </c>
      <c r="H305" t="s">
        <v>136</v>
      </c>
      <c r="I305" t="s">
        <v>170</v>
      </c>
      <c r="J305" t="s">
        <v>19</v>
      </c>
      <c r="K305" t="s">
        <v>12</v>
      </c>
      <c r="L305" t="s">
        <v>13</v>
      </c>
    </row>
    <row r="306" spans="1:12" x14ac:dyDescent="0.2">
      <c r="A306">
        <v>304</v>
      </c>
      <c r="B306" t="s">
        <v>388</v>
      </c>
      <c r="C306" t="s">
        <v>8</v>
      </c>
      <c r="D306" t="s">
        <v>8</v>
      </c>
      <c r="E306" t="s">
        <v>8</v>
      </c>
      <c r="F306" t="s">
        <v>1</v>
      </c>
      <c r="G306" t="s">
        <v>3</v>
      </c>
      <c r="H306" t="s">
        <v>136</v>
      </c>
      <c r="I306" t="s">
        <v>170</v>
      </c>
      <c r="J306" t="s">
        <v>6</v>
      </c>
      <c r="K306" t="s">
        <v>1</v>
      </c>
      <c r="L306" t="s">
        <v>3</v>
      </c>
    </row>
    <row r="307" spans="1:12" x14ac:dyDescent="0.2">
      <c r="A307">
        <v>305</v>
      </c>
      <c r="B307" t="s">
        <v>389</v>
      </c>
      <c r="C307" t="s">
        <v>8</v>
      </c>
      <c r="D307" t="s">
        <v>8</v>
      </c>
      <c r="E307" t="s">
        <v>8</v>
      </c>
      <c r="F307" t="s">
        <v>1</v>
      </c>
      <c r="G307" t="s">
        <v>3</v>
      </c>
      <c r="H307" t="s">
        <v>136</v>
      </c>
      <c r="I307" t="s">
        <v>170</v>
      </c>
      <c r="J307" t="s">
        <v>6</v>
      </c>
      <c r="K307" t="s">
        <v>1</v>
      </c>
      <c r="L307" t="s">
        <v>3</v>
      </c>
    </row>
    <row r="308" spans="1:12" x14ac:dyDescent="0.2">
      <c r="A308">
        <v>306</v>
      </c>
      <c r="B308" t="s">
        <v>390</v>
      </c>
      <c r="C308" t="s">
        <v>8</v>
      </c>
      <c r="D308" t="s">
        <v>8</v>
      </c>
      <c r="E308" t="s">
        <v>8</v>
      </c>
      <c r="F308" t="s">
        <v>1</v>
      </c>
      <c r="G308" t="s">
        <v>3</v>
      </c>
      <c r="H308" t="s">
        <v>136</v>
      </c>
      <c r="I308" t="s">
        <v>170</v>
      </c>
      <c r="J308" t="s">
        <v>6</v>
      </c>
      <c r="K308" t="s">
        <v>1</v>
      </c>
      <c r="L308" t="s">
        <v>3</v>
      </c>
    </row>
    <row r="309" spans="1:12" x14ac:dyDescent="0.2">
      <c r="A309">
        <v>307</v>
      </c>
      <c r="B309" t="s">
        <v>391</v>
      </c>
      <c r="C309" t="s">
        <v>8</v>
      </c>
      <c r="D309" t="s">
        <v>8</v>
      </c>
      <c r="E309" t="s">
        <v>8</v>
      </c>
      <c r="F309" t="s">
        <v>1</v>
      </c>
      <c r="G309" t="s">
        <v>3</v>
      </c>
      <c r="H309" t="s">
        <v>136</v>
      </c>
      <c r="I309" t="s">
        <v>170</v>
      </c>
      <c r="J309" t="s">
        <v>6</v>
      </c>
      <c r="K309" t="s">
        <v>1</v>
      </c>
      <c r="L309" t="s">
        <v>3</v>
      </c>
    </row>
    <row r="310" spans="1:12" x14ac:dyDescent="0.2">
      <c r="A310">
        <v>308</v>
      </c>
      <c r="B310" t="s">
        <v>392</v>
      </c>
      <c r="C310" t="s">
        <v>8</v>
      </c>
      <c r="D310" t="s">
        <v>8</v>
      </c>
      <c r="E310" t="s">
        <v>8</v>
      </c>
      <c r="F310" t="s">
        <v>1</v>
      </c>
      <c r="G310" t="s">
        <v>3</v>
      </c>
      <c r="H310" t="s">
        <v>136</v>
      </c>
      <c r="I310" t="s">
        <v>170</v>
      </c>
      <c r="J310" t="s">
        <v>6</v>
      </c>
      <c r="K310" t="s">
        <v>1</v>
      </c>
      <c r="L310" t="s">
        <v>3</v>
      </c>
    </row>
    <row r="311" spans="1:12" x14ac:dyDescent="0.2">
      <c r="A311">
        <v>309</v>
      </c>
      <c r="B311" t="s">
        <v>393</v>
      </c>
      <c r="C311" t="s">
        <v>8</v>
      </c>
      <c r="D311" t="s">
        <v>8</v>
      </c>
      <c r="E311" t="s">
        <v>8</v>
      </c>
      <c r="F311" t="s">
        <v>1</v>
      </c>
      <c r="G311" t="s">
        <v>3</v>
      </c>
      <c r="H311" t="s">
        <v>136</v>
      </c>
      <c r="I311" t="s">
        <v>170</v>
      </c>
      <c r="J311" t="s">
        <v>6</v>
      </c>
      <c r="K311" t="s">
        <v>1</v>
      </c>
      <c r="L311" t="s">
        <v>3</v>
      </c>
    </row>
    <row r="312" spans="1:12" x14ac:dyDescent="0.2">
      <c r="A312">
        <v>310</v>
      </c>
      <c r="B312" t="s">
        <v>394</v>
      </c>
      <c r="C312" t="s">
        <v>8</v>
      </c>
      <c r="D312" t="s">
        <v>8</v>
      </c>
      <c r="E312" t="s">
        <v>8</v>
      </c>
      <c r="F312" t="s">
        <v>1</v>
      </c>
      <c r="G312" t="s">
        <v>3</v>
      </c>
      <c r="H312" t="s">
        <v>136</v>
      </c>
      <c r="I312" t="s">
        <v>170</v>
      </c>
      <c r="J312" t="s">
        <v>6</v>
      </c>
      <c r="K312" t="s">
        <v>1</v>
      </c>
      <c r="L312" t="s">
        <v>3</v>
      </c>
    </row>
    <row r="313" spans="1:12" x14ac:dyDescent="0.2">
      <c r="A313">
        <v>311</v>
      </c>
      <c r="B313" t="s">
        <v>395</v>
      </c>
      <c r="C313" t="s">
        <v>8</v>
      </c>
      <c r="D313" t="s">
        <v>8</v>
      </c>
      <c r="E313" t="s">
        <v>8</v>
      </c>
      <c r="F313" t="s">
        <v>1</v>
      </c>
      <c r="G313" t="s">
        <v>3</v>
      </c>
      <c r="H313" t="s">
        <v>136</v>
      </c>
      <c r="I313" t="s">
        <v>170</v>
      </c>
      <c r="J313" t="s">
        <v>6</v>
      </c>
      <c r="K313" t="s">
        <v>1</v>
      </c>
      <c r="L313" t="s">
        <v>3</v>
      </c>
    </row>
    <row r="314" spans="1:12" x14ac:dyDescent="0.2">
      <c r="A314">
        <v>312</v>
      </c>
      <c r="B314" t="s">
        <v>396</v>
      </c>
      <c r="C314" t="s">
        <v>8</v>
      </c>
      <c r="D314" t="s">
        <v>8</v>
      </c>
      <c r="E314" t="s">
        <v>8</v>
      </c>
      <c r="F314" t="s">
        <v>1</v>
      </c>
      <c r="G314" t="s">
        <v>3</v>
      </c>
      <c r="H314" t="s">
        <v>136</v>
      </c>
      <c r="I314" t="s">
        <v>170</v>
      </c>
      <c r="J314" t="s">
        <v>6</v>
      </c>
      <c r="K314" t="s">
        <v>1</v>
      </c>
      <c r="L314" t="s">
        <v>3</v>
      </c>
    </row>
    <row r="315" spans="1:12" x14ac:dyDescent="0.2">
      <c r="A315">
        <v>313</v>
      </c>
      <c r="B315" t="s">
        <v>397</v>
      </c>
      <c r="C315" t="s">
        <v>8</v>
      </c>
      <c r="D315" t="s">
        <v>8</v>
      </c>
      <c r="E315" t="s">
        <v>8</v>
      </c>
      <c r="F315" t="s">
        <v>1</v>
      </c>
      <c r="G315" t="s">
        <v>3</v>
      </c>
      <c r="H315" t="s">
        <v>136</v>
      </c>
      <c r="I315" t="s">
        <v>170</v>
      </c>
      <c r="J315" t="s">
        <v>6</v>
      </c>
      <c r="K315" t="s">
        <v>1</v>
      </c>
      <c r="L315" t="s">
        <v>3</v>
      </c>
    </row>
    <row r="316" spans="1:12" x14ac:dyDescent="0.2">
      <c r="A316">
        <v>314</v>
      </c>
      <c r="B316" t="s">
        <v>398</v>
      </c>
      <c r="C316" t="s">
        <v>8</v>
      </c>
      <c r="D316" t="s">
        <v>8</v>
      </c>
      <c r="E316" t="s">
        <v>8</v>
      </c>
      <c r="F316" t="s">
        <v>1</v>
      </c>
      <c r="G316" t="s">
        <v>3</v>
      </c>
      <c r="H316" t="s">
        <v>136</v>
      </c>
      <c r="I316" t="s">
        <v>170</v>
      </c>
      <c r="J316" t="s">
        <v>6</v>
      </c>
      <c r="K316" t="s">
        <v>1</v>
      </c>
      <c r="L316" t="s">
        <v>3</v>
      </c>
    </row>
    <row r="317" spans="1:12" x14ac:dyDescent="0.2">
      <c r="A317">
        <v>315</v>
      </c>
      <c r="B317" t="s">
        <v>399</v>
      </c>
      <c r="C317" t="s">
        <v>8</v>
      </c>
      <c r="D317" t="s">
        <v>8</v>
      </c>
      <c r="E317" t="s">
        <v>8</v>
      </c>
      <c r="F317" t="s">
        <v>1</v>
      </c>
      <c r="G317" t="s">
        <v>3</v>
      </c>
      <c r="H317" t="s">
        <v>136</v>
      </c>
      <c r="I317" t="s">
        <v>170</v>
      </c>
      <c r="J317" t="s">
        <v>6</v>
      </c>
      <c r="K317" t="s">
        <v>1</v>
      </c>
      <c r="L317" t="s">
        <v>3</v>
      </c>
    </row>
    <row r="318" spans="1:12" x14ac:dyDescent="0.2">
      <c r="A318">
        <v>316</v>
      </c>
      <c r="B318" t="s">
        <v>400</v>
      </c>
      <c r="C318" t="s">
        <v>8</v>
      </c>
      <c r="D318" t="s">
        <v>8</v>
      </c>
      <c r="E318" t="s">
        <v>8</v>
      </c>
      <c r="F318" t="s">
        <v>1</v>
      </c>
      <c r="G318" t="s">
        <v>3</v>
      </c>
      <c r="H318" t="s">
        <v>136</v>
      </c>
      <c r="I318" t="s">
        <v>170</v>
      </c>
      <c r="J318" t="s">
        <v>6</v>
      </c>
      <c r="K318" t="s">
        <v>1</v>
      </c>
      <c r="L318" t="s">
        <v>3</v>
      </c>
    </row>
    <row r="319" spans="1:12" x14ac:dyDescent="0.2">
      <c r="A319">
        <v>317</v>
      </c>
      <c r="B319" t="s">
        <v>401</v>
      </c>
      <c r="C319" t="s">
        <v>8</v>
      </c>
      <c r="D319" t="s">
        <v>8</v>
      </c>
      <c r="E319" t="s">
        <v>8</v>
      </c>
      <c r="F319" t="s">
        <v>1</v>
      </c>
      <c r="G319" t="s">
        <v>3</v>
      </c>
      <c r="H319" t="s">
        <v>136</v>
      </c>
      <c r="I319" t="s">
        <v>170</v>
      </c>
      <c r="J319" t="s">
        <v>6</v>
      </c>
      <c r="K319" t="s">
        <v>1</v>
      </c>
      <c r="L319" t="s">
        <v>3</v>
      </c>
    </row>
    <row r="320" spans="1:12" x14ac:dyDescent="0.2">
      <c r="A320">
        <v>318</v>
      </c>
      <c r="B320" t="s">
        <v>402</v>
      </c>
      <c r="C320" t="s">
        <v>8</v>
      </c>
      <c r="D320" t="s">
        <v>8</v>
      </c>
      <c r="E320" t="s">
        <v>8</v>
      </c>
      <c r="F320" t="s">
        <v>1</v>
      </c>
      <c r="G320" t="s">
        <v>3</v>
      </c>
      <c r="H320" t="s">
        <v>136</v>
      </c>
      <c r="I320" t="s">
        <v>170</v>
      </c>
      <c r="J320" t="s">
        <v>6</v>
      </c>
      <c r="K320" t="s">
        <v>1</v>
      </c>
      <c r="L320" t="s">
        <v>3</v>
      </c>
    </row>
    <row r="321" spans="1:17" x14ac:dyDescent="0.2">
      <c r="A321">
        <v>319</v>
      </c>
      <c r="B321" t="s">
        <v>403</v>
      </c>
      <c r="C321" t="s">
        <v>227</v>
      </c>
      <c r="D321" t="s">
        <v>127</v>
      </c>
      <c r="E321" t="s">
        <v>127</v>
      </c>
      <c r="F321" t="s">
        <v>32</v>
      </c>
      <c r="G321" t="s">
        <v>3</v>
      </c>
      <c r="H321" t="s">
        <v>136</v>
      </c>
      <c r="I321" t="s">
        <v>170</v>
      </c>
      <c r="J321" t="s">
        <v>6</v>
      </c>
      <c r="K321" t="s">
        <v>1</v>
      </c>
      <c r="L321" t="s">
        <v>3</v>
      </c>
    </row>
    <row r="322" spans="1:17" x14ac:dyDescent="0.2">
      <c r="A322">
        <v>320</v>
      </c>
      <c r="B322" t="s">
        <v>404</v>
      </c>
      <c r="C322" t="s">
        <v>227</v>
      </c>
      <c r="D322" t="s">
        <v>127</v>
      </c>
      <c r="E322" t="s">
        <v>127</v>
      </c>
      <c r="F322" t="s">
        <v>169</v>
      </c>
      <c r="G322" t="s">
        <v>3</v>
      </c>
      <c r="H322" t="s">
        <v>136</v>
      </c>
      <c r="I322" t="s">
        <v>170</v>
      </c>
      <c r="J322" t="s">
        <v>6</v>
      </c>
      <c r="K322" t="s">
        <v>1</v>
      </c>
      <c r="L322" t="s">
        <v>3</v>
      </c>
    </row>
    <row r="323" spans="1:17" x14ac:dyDescent="0.2">
      <c r="A323">
        <v>324</v>
      </c>
      <c r="B323" t="s">
        <v>405</v>
      </c>
      <c r="C323" t="s">
        <v>198</v>
      </c>
      <c r="D323" t="s">
        <v>199</v>
      </c>
      <c r="E323" t="s">
        <v>199</v>
      </c>
      <c r="F323" t="s">
        <v>32</v>
      </c>
      <c r="G323" t="s">
        <v>3</v>
      </c>
      <c r="H323" t="s">
        <v>139</v>
      </c>
      <c r="I323" t="s">
        <v>170</v>
      </c>
      <c r="J323" t="s">
        <v>6</v>
      </c>
      <c r="K323" t="s">
        <v>12</v>
      </c>
      <c r="L323" t="s">
        <v>3</v>
      </c>
      <c r="N323" t="s">
        <v>12</v>
      </c>
      <c r="O323" t="s">
        <v>589</v>
      </c>
      <c r="P323" s="4" t="s">
        <v>594</v>
      </c>
      <c r="Q323" s="4" t="s">
        <v>593</v>
      </c>
    </row>
    <row r="324" spans="1:17" x14ac:dyDescent="0.2">
      <c r="A324">
        <v>325</v>
      </c>
      <c r="B324" t="s">
        <v>406</v>
      </c>
      <c r="C324" t="s">
        <v>198</v>
      </c>
      <c r="D324" t="s">
        <v>199</v>
      </c>
      <c r="E324" t="s">
        <v>199</v>
      </c>
      <c r="F324" t="s">
        <v>32</v>
      </c>
      <c r="G324" t="s">
        <v>3</v>
      </c>
      <c r="H324" t="s">
        <v>136</v>
      </c>
      <c r="I324" t="s">
        <v>170</v>
      </c>
      <c r="J324" t="s">
        <v>6</v>
      </c>
      <c r="K324" t="s">
        <v>12</v>
      </c>
      <c r="L324" t="s">
        <v>3</v>
      </c>
      <c r="N324" t="s">
        <v>12</v>
      </c>
      <c r="O324" t="s">
        <v>589</v>
      </c>
      <c r="P324" s="4" t="s">
        <v>594</v>
      </c>
      <c r="Q324" s="4" t="s">
        <v>593</v>
      </c>
    </row>
    <row r="325" spans="1:17" x14ac:dyDescent="0.2">
      <c r="A325">
        <v>326</v>
      </c>
      <c r="B325" t="s">
        <v>407</v>
      </c>
      <c r="C325" t="s">
        <v>198</v>
      </c>
      <c r="D325" t="s">
        <v>199</v>
      </c>
      <c r="E325" t="s">
        <v>199</v>
      </c>
      <c r="F325" t="s">
        <v>169</v>
      </c>
      <c r="G325" t="s">
        <v>3</v>
      </c>
      <c r="H325" t="s">
        <v>136</v>
      </c>
      <c r="I325" t="s">
        <v>170</v>
      </c>
      <c r="J325" t="s">
        <v>6</v>
      </c>
      <c r="K325" t="s">
        <v>12</v>
      </c>
      <c r="L325" t="s">
        <v>3</v>
      </c>
      <c r="N325" t="s">
        <v>12</v>
      </c>
      <c r="O325" t="s">
        <v>589</v>
      </c>
      <c r="P325" s="4" t="s">
        <v>594</v>
      </c>
      <c r="Q325" s="4" t="s">
        <v>593</v>
      </c>
    </row>
    <row r="326" spans="1:17" x14ac:dyDescent="0.2">
      <c r="A326">
        <v>327</v>
      </c>
      <c r="B326" t="s">
        <v>408</v>
      </c>
      <c r="C326" t="s">
        <v>198</v>
      </c>
      <c r="D326" t="s">
        <v>199</v>
      </c>
      <c r="E326" t="s">
        <v>199</v>
      </c>
      <c r="F326" t="s">
        <v>32</v>
      </c>
      <c r="G326" t="s">
        <v>3</v>
      </c>
      <c r="H326" t="s">
        <v>136</v>
      </c>
      <c r="I326" t="s">
        <v>170</v>
      </c>
      <c r="J326" t="s">
        <v>6</v>
      </c>
      <c r="K326" t="s">
        <v>12</v>
      </c>
      <c r="L326" t="s">
        <v>3</v>
      </c>
      <c r="N326" t="s">
        <v>12</v>
      </c>
      <c r="O326" t="s">
        <v>589</v>
      </c>
      <c r="P326" s="4" t="s">
        <v>594</v>
      </c>
      <c r="Q326" s="4" t="s">
        <v>593</v>
      </c>
    </row>
    <row r="327" spans="1:17" x14ac:dyDescent="0.2">
      <c r="A327">
        <v>328</v>
      </c>
      <c r="B327" t="s">
        <v>409</v>
      </c>
      <c r="C327" t="s">
        <v>198</v>
      </c>
      <c r="D327" t="s">
        <v>199</v>
      </c>
      <c r="E327" t="s">
        <v>199</v>
      </c>
      <c r="F327" t="s">
        <v>169</v>
      </c>
      <c r="G327" t="s">
        <v>3</v>
      </c>
      <c r="H327" t="s">
        <v>136</v>
      </c>
      <c r="I327" t="s">
        <v>170</v>
      </c>
      <c r="J327" t="s">
        <v>6</v>
      </c>
      <c r="K327" t="s">
        <v>12</v>
      </c>
      <c r="L327" t="s">
        <v>3</v>
      </c>
      <c r="N327" t="s">
        <v>12</v>
      </c>
      <c r="O327" t="s">
        <v>589</v>
      </c>
      <c r="P327" s="4" t="s">
        <v>594</v>
      </c>
      <c r="Q327" s="4" t="s">
        <v>593</v>
      </c>
    </row>
    <row r="328" spans="1:17" x14ac:dyDescent="0.2">
      <c r="A328">
        <v>329</v>
      </c>
      <c r="B328" t="s">
        <v>410</v>
      </c>
      <c r="C328" t="s">
        <v>198</v>
      </c>
      <c r="D328" t="s">
        <v>199</v>
      </c>
      <c r="E328" t="s">
        <v>199</v>
      </c>
      <c r="F328" t="s">
        <v>40</v>
      </c>
      <c r="G328">
        <v>1</v>
      </c>
      <c r="H328" t="s">
        <v>136</v>
      </c>
      <c r="I328" t="s">
        <v>170</v>
      </c>
      <c r="J328" t="s">
        <v>19</v>
      </c>
      <c r="K328" t="s">
        <v>12</v>
      </c>
      <c r="L328" t="s">
        <v>13</v>
      </c>
      <c r="N328" t="s">
        <v>12</v>
      </c>
      <c r="O328" t="s">
        <v>589</v>
      </c>
      <c r="P328" s="4" t="s">
        <v>594</v>
      </c>
      <c r="Q328" s="4" t="s">
        <v>593</v>
      </c>
    </row>
    <row r="329" spans="1:17" x14ac:dyDescent="0.2">
      <c r="A329">
        <v>330</v>
      </c>
      <c r="B329" t="s">
        <v>411</v>
      </c>
      <c r="C329" t="s">
        <v>198</v>
      </c>
      <c r="D329" t="s">
        <v>199</v>
      </c>
      <c r="E329" t="s">
        <v>199</v>
      </c>
      <c r="F329" t="s">
        <v>169</v>
      </c>
      <c r="G329" t="s">
        <v>3</v>
      </c>
      <c r="H329" t="s">
        <v>136</v>
      </c>
      <c r="I329" t="s">
        <v>170</v>
      </c>
      <c r="J329" t="s">
        <v>6</v>
      </c>
      <c r="K329" t="s">
        <v>12</v>
      </c>
      <c r="L329" t="s">
        <v>3</v>
      </c>
      <c r="N329" t="s">
        <v>12</v>
      </c>
      <c r="O329" t="s">
        <v>589</v>
      </c>
      <c r="P329" s="4" t="s">
        <v>594</v>
      </c>
      <c r="Q329" s="4" t="s">
        <v>593</v>
      </c>
    </row>
    <row r="330" spans="1:17" x14ac:dyDescent="0.2">
      <c r="A330">
        <v>331</v>
      </c>
      <c r="B330" t="s">
        <v>412</v>
      </c>
      <c r="C330" t="s">
        <v>198</v>
      </c>
      <c r="D330" t="s">
        <v>199</v>
      </c>
      <c r="E330" t="s">
        <v>199</v>
      </c>
      <c r="F330" t="s">
        <v>32</v>
      </c>
      <c r="G330" t="s">
        <v>3</v>
      </c>
      <c r="H330" t="s">
        <v>136</v>
      </c>
      <c r="I330" t="s">
        <v>170</v>
      </c>
      <c r="J330" t="s">
        <v>6</v>
      </c>
      <c r="K330" t="s">
        <v>12</v>
      </c>
      <c r="L330" t="s">
        <v>3</v>
      </c>
      <c r="N330" t="s">
        <v>12</v>
      </c>
      <c r="O330" t="s">
        <v>589</v>
      </c>
      <c r="P330" s="4" t="s">
        <v>594</v>
      </c>
      <c r="Q330" s="4" t="s">
        <v>593</v>
      </c>
    </row>
    <row r="331" spans="1:17" x14ac:dyDescent="0.2">
      <c r="A331">
        <v>332</v>
      </c>
      <c r="B331" t="s">
        <v>413</v>
      </c>
      <c r="C331" t="s">
        <v>198</v>
      </c>
      <c r="D331" t="s">
        <v>199</v>
      </c>
      <c r="E331" t="s">
        <v>199</v>
      </c>
      <c r="F331" t="s">
        <v>32</v>
      </c>
      <c r="G331" t="s">
        <v>3</v>
      </c>
      <c r="H331" t="s">
        <v>136</v>
      </c>
      <c r="I331" t="s">
        <v>170</v>
      </c>
      <c r="J331" t="s">
        <v>6</v>
      </c>
      <c r="K331" t="s">
        <v>12</v>
      </c>
      <c r="L331" t="s">
        <v>3</v>
      </c>
      <c r="N331" t="s">
        <v>12</v>
      </c>
      <c r="O331" t="s">
        <v>589</v>
      </c>
      <c r="P331" s="4" t="s">
        <v>594</v>
      </c>
      <c r="Q331" s="4" t="s">
        <v>593</v>
      </c>
    </row>
    <row r="332" spans="1:17" x14ac:dyDescent="0.2">
      <c r="A332">
        <v>333</v>
      </c>
      <c r="B332" t="s">
        <v>414</v>
      </c>
      <c r="C332" t="s">
        <v>198</v>
      </c>
      <c r="D332" t="s">
        <v>199</v>
      </c>
      <c r="E332" t="s">
        <v>199</v>
      </c>
      <c r="F332" t="s">
        <v>32</v>
      </c>
      <c r="G332" t="s">
        <v>3</v>
      </c>
      <c r="H332" t="s">
        <v>136</v>
      </c>
      <c r="I332" t="s">
        <v>170</v>
      </c>
      <c r="J332" t="s">
        <v>6</v>
      </c>
      <c r="K332" t="s">
        <v>12</v>
      </c>
      <c r="L332" t="s">
        <v>3</v>
      </c>
      <c r="N332" t="s">
        <v>12</v>
      </c>
      <c r="O332" t="s">
        <v>589</v>
      </c>
      <c r="P332" s="4" t="s">
        <v>594</v>
      </c>
      <c r="Q332" s="4" t="s">
        <v>593</v>
      </c>
    </row>
    <row r="333" spans="1:17" x14ac:dyDescent="0.2">
      <c r="A333">
        <v>334</v>
      </c>
      <c r="B333" t="s">
        <v>415</v>
      </c>
      <c r="C333" t="s">
        <v>198</v>
      </c>
      <c r="D333" t="s">
        <v>199</v>
      </c>
      <c r="E333" t="s">
        <v>199</v>
      </c>
      <c r="F333" t="s">
        <v>32</v>
      </c>
      <c r="G333" t="s">
        <v>3</v>
      </c>
      <c r="H333" t="s">
        <v>136</v>
      </c>
      <c r="I333" t="s">
        <v>170</v>
      </c>
      <c r="J333" t="s">
        <v>6</v>
      </c>
      <c r="K333" t="s">
        <v>12</v>
      </c>
      <c r="L333" t="s">
        <v>3</v>
      </c>
      <c r="N333" t="s">
        <v>12</v>
      </c>
      <c r="O333" t="s">
        <v>589</v>
      </c>
      <c r="P333" s="4" t="s">
        <v>594</v>
      </c>
      <c r="Q333" s="4" t="s">
        <v>593</v>
      </c>
    </row>
    <row r="334" spans="1:17" x14ac:dyDescent="0.2">
      <c r="A334">
        <v>335</v>
      </c>
      <c r="B334" t="s">
        <v>416</v>
      </c>
      <c r="C334" t="s">
        <v>198</v>
      </c>
      <c r="D334" t="s">
        <v>199</v>
      </c>
      <c r="E334" t="s">
        <v>199</v>
      </c>
      <c r="F334" t="s">
        <v>169</v>
      </c>
      <c r="G334" t="s">
        <v>3</v>
      </c>
      <c r="H334" t="s">
        <v>139</v>
      </c>
      <c r="I334" t="s">
        <v>170</v>
      </c>
      <c r="J334" t="s">
        <v>6</v>
      </c>
      <c r="K334" t="s">
        <v>12</v>
      </c>
      <c r="L334" t="s">
        <v>3</v>
      </c>
      <c r="N334" t="s">
        <v>12</v>
      </c>
      <c r="O334" t="s">
        <v>589</v>
      </c>
      <c r="P334" s="4" t="s">
        <v>594</v>
      </c>
      <c r="Q334" s="4" t="s">
        <v>593</v>
      </c>
    </row>
    <row r="335" spans="1:17" x14ac:dyDescent="0.2">
      <c r="A335">
        <v>336</v>
      </c>
      <c r="B335" t="s">
        <v>417</v>
      </c>
      <c r="C335" t="s">
        <v>198</v>
      </c>
      <c r="D335" t="s">
        <v>199</v>
      </c>
      <c r="E335" t="s">
        <v>199</v>
      </c>
      <c r="F335" t="s">
        <v>18</v>
      </c>
      <c r="G335">
        <v>1</v>
      </c>
      <c r="H335" t="s">
        <v>136</v>
      </c>
      <c r="I335" t="s">
        <v>170</v>
      </c>
      <c r="J335" t="s">
        <v>19</v>
      </c>
      <c r="K335" t="s">
        <v>12</v>
      </c>
      <c r="L335" t="s">
        <v>13</v>
      </c>
      <c r="N335" t="s">
        <v>12</v>
      </c>
      <c r="O335" t="s">
        <v>589</v>
      </c>
      <c r="P335" s="4" t="s">
        <v>594</v>
      </c>
      <c r="Q335" s="4" t="s">
        <v>593</v>
      </c>
    </row>
    <row r="336" spans="1:17" x14ac:dyDescent="0.2">
      <c r="A336">
        <v>337</v>
      </c>
      <c r="B336" t="s">
        <v>418</v>
      </c>
      <c r="C336" t="s">
        <v>198</v>
      </c>
      <c r="D336" t="s">
        <v>199</v>
      </c>
      <c r="E336" t="s">
        <v>199</v>
      </c>
      <c r="F336" t="s">
        <v>169</v>
      </c>
      <c r="G336" t="s">
        <v>3</v>
      </c>
      <c r="H336" t="s">
        <v>139</v>
      </c>
      <c r="I336" t="s">
        <v>170</v>
      </c>
      <c r="J336" t="s">
        <v>6</v>
      </c>
      <c r="K336" t="s">
        <v>12</v>
      </c>
      <c r="L336" t="s">
        <v>13</v>
      </c>
      <c r="N336" t="s">
        <v>12</v>
      </c>
      <c r="O336" t="s">
        <v>589</v>
      </c>
      <c r="P336" s="4" t="s">
        <v>594</v>
      </c>
      <c r="Q336" s="4" t="s">
        <v>593</v>
      </c>
    </row>
    <row r="337" spans="1:17" x14ac:dyDescent="0.2">
      <c r="A337">
        <v>338</v>
      </c>
      <c r="B337" t="s">
        <v>419</v>
      </c>
      <c r="C337" t="s">
        <v>198</v>
      </c>
      <c r="D337" t="s">
        <v>199</v>
      </c>
      <c r="E337" t="s">
        <v>199</v>
      </c>
      <c r="F337" t="s">
        <v>32</v>
      </c>
      <c r="G337" t="s">
        <v>3</v>
      </c>
      <c r="H337" t="s">
        <v>136</v>
      </c>
      <c r="I337" t="s">
        <v>170</v>
      </c>
      <c r="J337" t="s">
        <v>6</v>
      </c>
      <c r="K337" t="s">
        <v>12</v>
      </c>
      <c r="L337" t="s">
        <v>3</v>
      </c>
      <c r="N337" t="s">
        <v>12</v>
      </c>
      <c r="O337" t="s">
        <v>589</v>
      </c>
      <c r="P337" s="4" t="s">
        <v>594</v>
      </c>
      <c r="Q337" s="4" t="s">
        <v>593</v>
      </c>
    </row>
    <row r="338" spans="1:17" x14ac:dyDescent="0.2">
      <c r="A338">
        <v>339</v>
      </c>
      <c r="B338" t="s">
        <v>420</v>
      </c>
      <c r="C338" t="s">
        <v>198</v>
      </c>
      <c r="D338" t="s">
        <v>199</v>
      </c>
      <c r="E338" t="s">
        <v>199</v>
      </c>
      <c r="F338" t="s">
        <v>32</v>
      </c>
      <c r="G338" t="s">
        <v>3</v>
      </c>
      <c r="H338" t="s">
        <v>136</v>
      </c>
      <c r="I338" t="s">
        <v>170</v>
      </c>
      <c r="J338" t="s">
        <v>6</v>
      </c>
      <c r="K338" t="s">
        <v>12</v>
      </c>
      <c r="L338" t="s">
        <v>3</v>
      </c>
      <c r="N338" t="s">
        <v>12</v>
      </c>
      <c r="O338" t="s">
        <v>589</v>
      </c>
      <c r="P338" s="4" t="s">
        <v>594</v>
      </c>
      <c r="Q338" s="4" t="s">
        <v>593</v>
      </c>
    </row>
    <row r="339" spans="1:17" x14ac:dyDescent="0.2">
      <c r="A339">
        <v>323</v>
      </c>
      <c r="B339" t="s">
        <v>421</v>
      </c>
      <c r="C339" t="s">
        <v>198</v>
      </c>
      <c r="D339" t="s">
        <v>199</v>
      </c>
      <c r="E339" t="s">
        <v>199</v>
      </c>
      <c r="F339" t="s">
        <v>169</v>
      </c>
      <c r="G339" t="s">
        <v>3</v>
      </c>
      <c r="H339" t="s">
        <v>136</v>
      </c>
      <c r="I339" t="s">
        <v>170</v>
      </c>
      <c r="J339" t="s">
        <v>6</v>
      </c>
      <c r="K339" t="s">
        <v>12</v>
      </c>
      <c r="L339" t="s">
        <v>3</v>
      </c>
      <c r="N339" t="s">
        <v>12</v>
      </c>
      <c r="O339" t="s">
        <v>589</v>
      </c>
      <c r="P339" s="4" t="s">
        <v>594</v>
      </c>
      <c r="Q339" s="4" t="s">
        <v>593</v>
      </c>
    </row>
    <row r="340" spans="1:17" x14ac:dyDescent="0.2">
      <c r="A340">
        <v>340</v>
      </c>
      <c r="B340" t="s">
        <v>422</v>
      </c>
      <c r="C340" t="s">
        <v>198</v>
      </c>
      <c r="D340" t="s">
        <v>199</v>
      </c>
      <c r="E340" t="s">
        <v>199</v>
      </c>
      <c r="F340" t="s">
        <v>32</v>
      </c>
      <c r="G340" t="s">
        <v>3</v>
      </c>
      <c r="H340" t="s">
        <v>136</v>
      </c>
      <c r="I340" t="s">
        <v>170</v>
      </c>
      <c r="J340" t="s">
        <v>6</v>
      </c>
      <c r="K340" t="s">
        <v>12</v>
      </c>
      <c r="L340" t="s">
        <v>3</v>
      </c>
      <c r="N340" t="s">
        <v>12</v>
      </c>
      <c r="O340" t="s">
        <v>589</v>
      </c>
      <c r="P340" s="4" t="s">
        <v>594</v>
      </c>
      <c r="Q340" s="4" t="s">
        <v>593</v>
      </c>
    </row>
    <row r="341" spans="1:17" x14ac:dyDescent="0.2">
      <c r="A341">
        <v>341</v>
      </c>
      <c r="B341" t="s">
        <v>423</v>
      </c>
      <c r="C341" t="s">
        <v>198</v>
      </c>
      <c r="D341" t="s">
        <v>199</v>
      </c>
      <c r="E341" t="s">
        <v>199</v>
      </c>
      <c r="F341" t="s">
        <v>169</v>
      </c>
      <c r="G341" t="s">
        <v>3</v>
      </c>
      <c r="H341" t="s">
        <v>136</v>
      </c>
      <c r="I341" t="s">
        <v>170</v>
      </c>
      <c r="J341" t="s">
        <v>6</v>
      </c>
      <c r="K341" t="s">
        <v>12</v>
      </c>
      <c r="L341" t="s">
        <v>3</v>
      </c>
      <c r="N341" t="s">
        <v>12</v>
      </c>
      <c r="O341" t="s">
        <v>589</v>
      </c>
      <c r="P341" s="4" t="s">
        <v>594</v>
      </c>
      <c r="Q341" s="4" t="s">
        <v>593</v>
      </c>
    </row>
    <row r="342" spans="1:17" x14ac:dyDescent="0.2">
      <c r="A342">
        <v>342</v>
      </c>
      <c r="B342" t="s">
        <v>424</v>
      </c>
      <c r="C342" t="s">
        <v>198</v>
      </c>
      <c r="D342" t="s">
        <v>199</v>
      </c>
      <c r="E342" t="s">
        <v>199</v>
      </c>
      <c r="F342" t="s">
        <v>32</v>
      </c>
      <c r="G342" t="s">
        <v>3</v>
      </c>
      <c r="H342" t="s">
        <v>136</v>
      </c>
      <c r="I342" t="s">
        <v>170</v>
      </c>
      <c r="J342" t="s">
        <v>6</v>
      </c>
      <c r="K342" t="s">
        <v>12</v>
      </c>
      <c r="L342" t="s">
        <v>3</v>
      </c>
      <c r="N342" t="s">
        <v>12</v>
      </c>
      <c r="O342" t="s">
        <v>589</v>
      </c>
      <c r="P342" s="4" t="s">
        <v>594</v>
      </c>
      <c r="Q342" s="4" t="s">
        <v>593</v>
      </c>
    </row>
    <row r="343" spans="1:17" x14ac:dyDescent="0.2">
      <c r="A343">
        <v>343</v>
      </c>
      <c r="B343" t="s">
        <v>425</v>
      </c>
      <c r="C343" t="s">
        <v>198</v>
      </c>
      <c r="D343" t="s">
        <v>199</v>
      </c>
      <c r="E343" t="s">
        <v>199</v>
      </c>
      <c r="F343" t="s">
        <v>169</v>
      </c>
      <c r="G343" t="s">
        <v>3</v>
      </c>
      <c r="H343" t="s">
        <v>136</v>
      </c>
      <c r="I343" t="s">
        <v>170</v>
      </c>
      <c r="J343" t="s">
        <v>6</v>
      </c>
      <c r="K343" t="s">
        <v>12</v>
      </c>
      <c r="L343" t="s">
        <v>3</v>
      </c>
      <c r="N343" t="s">
        <v>12</v>
      </c>
      <c r="O343" t="s">
        <v>589</v>
      </c>
      <c r="P343" s="4" t="s">
        <v>594</v>
      </c>
      <c r="Q343" s="4" t="s">
        <v>593</v>
      </c>
    </row>
    <row r="344" spans="1:17" x14ac:dyDescent="0.2">
      <c r="A344">
        <v>344</v>
      </c>
      <c r="B344" t="s">
        <v>426</v>
      </c>
      <c r="C344" t="s">
        <v>198</v>
      </c>
      <c r="D344" t="s">
        <v>199</v>
      </c>
      <c r="E344" t="s">
        <v>199</v>
      </c>
      <c r="F344" t="s">
        <v>169</v>
      </c>
      <c r="G344" t="s">
        <v>3</v>
      </c>
      <c r="H344" t="s">
        <v>136</v>
      </c>
      <c r="I344" t="s">
        <v>170</v>
      </c>
      <c r="J344" t="s">
        <v>6</v>
      </c>
      <c r="K344" t="s">
        <v>12</v>
      </c>
      <c r="L344" t="s">
        <v>3</v>
      </c>
      <c r="N344" t="s">
        <v>12</v>
      </c>
      <c r="O344" t="s">
        <v>589</v>
      </c>
      <c r="P344" s="4" t="s">
        <v>594</v>
      </c>
      <c r="Q344" s="4" t="s">
        <v>593</v>
      </c>
    </row>
    <row r="345" spans="1:17" x14ac:dyDescent="0.2">
      <c r="A345">
        <v>345</v>
      </c>
      <c r="B345" t="s">
        <v>427</v>
      </c>
      <c r="C345" t="s">
        <v>198</v>
      </c>
      <c r="D345" t="s">
        <v>199</v>
      </c>
      <c r="E345" t="s">
        <v>199</v>
      </c>
      <c r="F345" t="s">
        <v>18</v>
      </c>
      <c r="G345">
        <v>1</v>
      </c>
      <c r="H345" t="s">
        <v>136</v>
      </c>
      <c r="I345" t="s">
        <v>170</v>
      </c>
      <c r="J345" t="s">
        <v>19</v>
      </c>
      <c r="K345" t="s">
        <v>12</v>
      </c>
      <c r="L345" t="s">
        <v>13</v>
      </c>
      <c r="N345" t="s">
        <v>12</v>
      </c>
      <c r="O345" t="s">
        <v>589</v>
      </c>
      <c r="P345" s="4" t="s">
        <v>594</v>
      </c>
      <c r="Q345" s="4" t="s">
        <v>593</v>
      </c>
    </row>
    <row r="346" spans="1:17" x14ac:dyDescent="0.2">
      <c r="A346">
        <v>346</v>
      </c>
      <c r="B346" t="s">
        <v>428</v>
      </c>
      <c r="C346" t="s">
        <v>198</v>
      </c>
      <c r="D346" t="s">
        <v>199</v>
      </c>
      <c r="E346" t="s">
        <v>199</v>
      </c>
      <c r="F346" t="s">
        <v>169</v>
      </c>
      <c r="G346" t="s">
        <v>3</v>
      </c>
      <c r="H346" t="s">
        <v>139</v>
      </c>
      <c r="I346" t="s">
        <v>170</v>
      </c>
      <c r="J346" t="s">
        <v>6</v>
      </c>
      <c r="K346" t="s">
        <v>12</v>
      </c>
      <c r="L346" t="s">
        <v>13</v>
      </c>
      <c r="N346" t="s">
        <v>12</v>
      </c>
      <c r="O346" t="s">
        <v>589</v>
      </c>
      <c r="P346" s="4" t="s">
        <v>594</v>
      </c>
      <c r="Q346" s="4" t="s">
        <v>593</v>
      </c>
    </row>
    <row r="347" spans="1:17" x14ac:dyDescent="0.2">
      <c r="A347">
        <v>347</v>
      </c>
      <c r="B347" t="s">
        <v>429</v>
      </c>
      <c r="C347" t="s">
        <v>198</v>
      </c>
      <c r="D347" t="s">
        <v>199</v>
      </c>
      <c r="E347" t="s">
        <v>199</v>
      </c>
      <c r="F347" t="s">
        <v>32</v>
      </c>
      <c r="G347" t="s">
        <v>3</v>
      </c>
      <c r="H347" t="s">
        <v>136</v>
      </c>
      <c r="I347" t="s">
        <v>170</v>
      </c>
      <c r="J347" t="s">
        <v>6</v>
      </c>
      <c r="K347" t="s">
        <v>12</v>
      </c>
      <c r="L347" t="s">
        <v>3</v>
      </c>
      <c r="N347" t="s">
        <v>12</v>
      </c>
      <c r="O347" t="s">
        <v>589</v>
      </c>
      <c r="P347" s="4" t="s">
        <v>594</v>
      </c>
      <c r="Q347" s="4" t="s">
        <v>593</v>
      </c>
    </row>
    <row r="348" spans="1:17" x14ac:dyDescent="0.2">
      <c r="A348">
        <v>348</v>
      </c>
      <c r="B348" t="s">
        <v>430</v>
      </c>
      <c r="C348" t="s">
        <v>198</v>
      </c>
      <c r="D348" t="s">
        <v>199</v>
      </c>
      <c r="E348" t="s">
        <v>199</v>
      </c>
      <c r="F348" t="s">
        <v>32</v>
      </c>
      <c r="G348" t="s">
        <v>3</v>
      </c>
      <c r="H348" t="s">
        <v>136</v>
      </c>
      <c r="I348" t="s">
        <v>170</v>
      </c>
      <c r="J348" t="s">
        <v>6</v>
      </c>
      <c r="K348" t="s">
        <v>12</v>
      </c>
      <c r="L348" t="s">
        <v>3</v>
      </c>
      <c r="N348" t="s">
        <v>12</v>
      </c>
      <c r="O348" t="s">
        <v>589</v>
      </c>
      <c r="P348" s="4" t="s">
        <v>594</v>
      </c>
      <c r="Q348" s="4" t="s">
        <v>593</v>
      </c>
    </row>
    <row r="349" spans="1:17" x14ac:dyDescent="0.2">
      <c r="A349">
        <v>349</v>
      </c>
      <c r="B349" t="s">
        <v>431</v>
      </c>
      <c r="C349" t="s">
        <v>198</v>
      </c>
      <c r="D349" t="s">
        <v>199</v>
      </c>
      <c r="E349" t="s">
        <v>199</v>
      </c>
      <c r="F349" t="s">
        <v>169</v>
      </c>
      <c r="G349" t="s">
        <v>3</v>
      </c>
      <c r="H349" t="s">
        <v>139</v>
      </c>
      <c r="I349" t="s">
        <v>170</v>
      </c>
      <c r="J349" t="s">
        <v>6</v>
      </c>
      <c r="K349" t="s">
        <v>12</v>
      </c>
      <c r="L349" t="s">
        <v>3</v>
      </c>
      <c r="N349" t="s">
        <v>12</v>
      </c>
      <c r="O349" t="s">
        <v>589</v>
      </c>
      <c r="P349" s="4" t="s">
        <v>594</v>
      </c>
      <c r="Q349" s="4" t="s">
        <v>593</v>
      </c>
    </row>
    <row r="350" spans="1:17" x14ac:dyDescent="0.2">
      <c r="A350">
        <v>350</v>
      </c>
      <c r="B350" t="s">
        <v>432</v>
      </c>
      <c r="C350" t="s">
        <v>198</v>
      </c>
      <c r="D350" t="s">
        <v>199</v>
      </c>
      <c r="E350" t="s">
        <v>199</v>
      </c>
      <c r="F350" t="s">
        <v>169</v>
      </c>
      <c r="G350" t="s">
        <v>3</v>
      </c>
      <c r="H350" t="s">
        <v>139</v>
      </c>
      <c r="I350" t="s">
        <v>170</v>
      </c>
      <c r="J350" t="s">
        <v>6</v>
      </c>
      <c r="K350" t="s">
        <v>12</v>
      </c>
      <c r="L350" t="s">
        <v>3</v>
      </c>
      <c r="N350" t="s">
        <v>12</v>
      </c>
      <c r="O350" t="s">
        <v>589</v>
      </c>
      <c r="P350" s="4" t="s">
        <v>594</v>
      </c>
      <c r="Q350" s="4" t="s">
        <v>593</v>
      </c>
    </row>
    <row r="351" spans="1:17" x14ac:dyDescent="0.2">
      <c r="A351">
        <v>351</v>
      </c>
      <c r="B351" t="s">
        <v>433</v>
      </c>
      <c r="C351" t="s">
        <v>198</v>
      </c>
      <c r="D351" t="s">
        <v>199</v>
      </c>
      <c r="E351" t="s">
        <v>199</v>
      </c>
      <c r="F351" t="s">
        <v>169</v>
      </c>
      <c r="G351" t="s">
        <v>3</v>
      </c>
      <c r="H351" t="s">
        <v>139</v>
      </c>
      <c r="I351" t="s">
        <v>170</v>
      </c>
      <c r="J351" t="s">
        <v>6</v>
      </c>
      <c r="K351" t="s">
        <v>12</v>
      </c>
      <c r="L351" t="s">
        <v>3</v>
      </c>
      <c r="N351" t="s">
        <v>12</v>
      </c>
      <c r="O351" t="s">
        <v>589</v>
      </c>
      <c r="P351" s="4" t="s">
        <v>594</v>
      </c>
      <c r="Q351" s="4" t="s">
        <v>593</v>
      </c>
    </row>
    <row r="352" spans="1:17" x14ac:dyDescent="0.2">
      <c r="A352">
        <v>352</v>
      </c>
      <c r="B352" t="s">
        <v>434</v>
      </c>
      <c r="C352" t="s">
        <v>198</v>
      </c>
      <c r="D352" t="s">
        <v>199</v>
      </c>
      <c r="E352" t="s">
        <v>199</v>
      </c>
      <c r="F352" t="s">
        <v>32</v>
      </c>
      <c r="G352" t="s">
        <v>3</v>
      </c>
      <c r="H352" t="s">
        <v>139</v>
      </c>
      <c r="I352" t="s">
        <v>170</v>
      </c>
      <c r="J352" t="s">
        <v>6</v>
      </c>
      <c r="K352" t="s">
        <v>12</v>
      </c>
      <c r="L352" t="s">
        <v>3</v>
      </c>
      <c r="N352" t="s">
        <v>12</v>
      </c>
      <c r="O352" t="s">
        <v>589</v>
      </c>
      <c r="P352" s="4" t="s">
        <v>594</v>
      </c>
      <c r="Q352" s="4" t="s">
        <v>593</v>
      </c>
    </row>
    <row r="353" spans="1:17" x14ac:dyDescent="0.2">
      <c r="A353">
        <v>353</v>
      </c>
      <c r="B353" t="s">
        <v>434</v>
      </c>
      <c r="C353" t="s">
        <v>198</v>
      </c>
      <c r="D353" t="s">
        <v>199</v>
      </c>
      <c r="E353" t="s">
        <v>199</v>
      </c>
      <c r="F353" t="s">
        <v>32</v>
      </c>
      <c r="G353" t="s">
        <v>3</v>
      </c>
      <c r="H353" t="s">
        <v>136</v>
      </c>
      <c r="I353" t="s">
        <v>170</v>
      </c>
      <c r="J353" t="s">
        <v>6</v>
      </c>
      <c r="K353" t="s">
        <v>12</v>
      </c>
      <c r="L353" t="s">
        <v>3</v>
      </c>
      <c r="N353" t="s">
        <v>12</v>
      </c>
      <c r="O353" t="s">
        <v>589</v>
      </c>
      <c r="P353" s="4" t="s">
        <v>594</v>
      </c>
      <c r="Q353" s="4" t="s">
        <v>593</v>
      </c>
    </row>
    <row r="354" spans="1:17" x14ac:dyDescent="0.2">
      <c r="A354">
        <v>354</v>
      </c>
      <c r="B354" t="s">
        <v>435</v>
      </c>
      <c r="C354" t="s">
        <v>198</v>
      </c>
      <c r="D354" t="s">
        <v>199</v>
      </c>
      <c r="E354" t="s">
        <v>199</v>
      </c>
      <c r="F354" t="s">
        <v>32</v>
      </c>
      <c r="G354" t="s">
        <v>3</v>
      </c>
      <c r="H354" t="s">
        <v>136</v>
      </c>
      <c r="I354" t="s">
        <v>170</v>
      </c>
      <c r="J354" t="s">
        <v>6</v>
      </c>
      <c r="K354" t="s">
        <v>12</v>
      </c>
      <c r="L354" t="s">
        <v>3</v>
      </c>
      <c r="N354" t="s">
        <v>12</v>
      </c>
      <c r="O354" t="s">
        <v>589</v>
      </c>
      <c r="P354" s="4" t="s">
        <v>594</v>
      </c>
      <c r="Q354" s="4" t="s">
        <v>593</v>
      </c>
    </row>
    <row r="355" spans="1:17" x14ac:dyDescent="0.2">
      <c r="A355">
        <v>356</v>
      </c>
      <c r="B355" t="s">
        <v>436</v>
      </c>
      <c r="C355" t="s">
        <v>198</v>
      </c>
      <c r="D355" t="s">
        <v>199</v>
      </c>
      <c r="E355" t="s">
        <v>199</v>
      </c>
      <c r="F355" t="s">
        <v>32</v>
      </c>
      <c r="G355" t="s">
        <v>3</v>
      </c>
      <c r="H355" t="s">
        <v>139</v>
      </c>
      <c r="I355" t="s">
        <v>170</v>
      </c>
      <c r="J355" t="s">
        <v>6</v>
      </c>
      <c r="K355" t="s">
        <v>12</v>
      </c>
      <c r="L355" t="s">
        <v>3</v>
      </c>
      <c r="N355" t="s">
        <v>12</v>
      </c>
      <c r="O355" t="s">
        <v>589</v>
      </c>
      <c r="P355" s="4" t="s">
        <v>594</v>
      </c>
      <c r="Q355" s="4" t="s">
        <v>593</v>
      </c>
    </row>
    <row r="356" spans="1:17" x14ac:dyDescent="0.2">
      <c r="A356">
        <v>357</v>
      </c>
      <c r="B356" t="s">
        <v>437</v>
      </c>
      <c r="C356" t="s">
        <v>198</v>
      </c>
      <c r="D356" t="s">
        <v>199</v>
      </c>
      <c r="E356" t="s">
        <v>199</v>
      </c>
      <c r="F356" t="s">
        <v>169</v>
      </c>
      <c r="G356" t="s">
        <v>3</v>
      </c>
      <c r="H356" t="s">
        <v>136</v>
      </c>
      <c r="I356" t="s">
        <v>170</v>
      </c>
      <c r="J356" t="s">
        <v>6</v>
      </c>
      <c r="K356" t="s">
        <v>12</v>
      </c>
      <c r="L356" t="s">
        <v>3</v>
      </c>
      <c r="N356" t="s">
        <v>12</v>
      </c>
      <c r="O356" t="s">
        <v>589</v>
      </c>
      <c r="P356" s="4" t="s">
        <v>594</v>
      </c>
      <c r="Q356" s="4" t="s">
        <v>593</v>
      </c>
    </row>
    <row r="357" spans="1:17" x14ac:dyDescent="0.2">
      <c r="A357">
        <v>358</v>
      </c>
      <c r="B357" t="s">
        <v>438</v>
      </c>
      <c r="C357" t="s">
        <v>198</v>
      </c>
      <c r="D357" t="s">
        <v>199</v>
      </c>
      <c r="E357" t="s">
        <v>199</v>
      </c>
      <c r="F357" t="s">
        <v>169</v>
      </c>
      <c r="G357" t="s">
        <v>3</v>
      </c>
      <c r="H357" t="s">
        <v>136</v>
      </c>
      <c r="I357" t="s">
        <v>170</v>
      </c>
      <c r="J357" t="s">
        <v>6</v>
      </c>
      <c r="K357" t="s">
        <v>12</v>
      </c>
      <c r="L357" t="s">
        <v>3</v>
      </c>
      <c r="N357" t="s">
        <v>12</v>
      </c>
      <c r="O357" t="s">
        <v>589</v>
      </c>
      <c r="P357" s="4" t="s">
        <v>594</v>
      </c>
      <c r="Q357" s="4" t="s">
        <v>593</v>
      </c>
    </row>
    <row r="358" spans="1:17" x14ac:dyDescent="0.2">
      <c r="A358">
        <v>359</v>
      </c>
      <c r="B358" t="s">
        <v>439</v>
      </c>
      <c r="C358" t="s">
        <v>198</v>
      </c>
      <c r="D358" t="s">
        <v>199</v>
      </c>
      <c r="E358" t="s">
        <v>199</v>
      </c>
      <c r="F358" t="s">
        <v>169</v>
      </c>
      <c r="G358" t="s">
        <v>3</v>
      </c>
      <c r="H358" t="s">
        <v>139</v>
      </c>
      <c r="I358" t="s">
        <v>170</v>
      </c>
      <c r="J358" t="s">
        <v>6</v>
      </c>
      <c r="K358" t="s">
        <v>12</v>
      </c>
      <c r="L358" t="s">
        <v>13</v>
      </c>
      <c r="N358" t="s">
        <v>12</v>
      </c>
      <c r="O358" t="s">
        <v>589</v>
      </c>
      <c r="P358" s="4" t="s">
        <v>594</v>
      </c>
      <c r="Q358" s="4" t="s">
        <v>593</v>
      </c>
    </row>
    <row r="359" spans="1:17" x14ac:dyDescent="0.2">
      <c r="A359">
        <v>355</v>
      </c>
      <c r="B359" t="s">
        <v>440</v>
      </c>
      <c r="C359" t="s">
        <v>198</v>
      </c>
      <c r="D359" t="s">
        <v>199</v>
      </c>
      <c r="E359" t="s">
        <v>199</v>
      </c>
      <c r="F359" t="s">
        <v>169</v>
      </c>
      <c r="G359" t="s">
        <v>3</v>
      </c>
      <c r="H359" t="s">
        <v>136</v>
      </c>
      <c r="I359" t="s">
        <v>170</v>
      </c>
      <c r="J359" t="s">
        <v>6</v>
      </c>
      <c r="K359" t="s">
        <v>12</v>
      </c>
      <c r="L359" t="s">
        <v>3</v>
      </c>
      <c r="N359" t="s">
        <v>12</v>
      </c>
      <c r="O359" t="s">
        <v>589</v>
      </c>
      <c r="P359" s="4" t="s">
        <v>594</v>
      </c>
      <c r="Q359" s="4" t="s">
        <v>593</v>
      </c>
    </row>
    <row r="360" spans="1:17" x14ac:dyDescent="0.2">
      <c r="A360">
        <v>360</v>
      </c>
      <c r="B360" t="s">
        <v>441</v>
      </c>
      <c r="C360" t="s">
        <v>198</v>
      </c>
      <c r="D360" t="s">
        <v>199</v>
      </c>
      <c r="E360" t="s">
        <v>199</v>
      </c>
      <c r="F360" t="s">
        <v>32</v>
      </c>
      <c r="G360" t="s">
        <v>3</v>
      </c>
      <c r="H360" t="s">
        <v>136</v>
      </c>
      <c r="I360" t="s">
        <v>170</v>
      </c>
      <c r="J360" t="s">
        <v>6</v>
      </c>
      <c r="K360" t="s">
        <v>12</v>
      </c>
      <c r="L360" t="s">
        <v>3</v>
      </c>
      <c r="N360" t="s">
        <v>12</v>
      </c>
      <c r="O360" t="s">
        <v>589</v>
      </c>
      <c r="P360" s="4" t="s">
        <v>594</v>
      </c>
      <c r="Q360" s="4" t="s">
        <v>593</v>
      </c>
    </row>
    <row r="361" spans="1:17" x14ac:dyDescent="0.2">
      <c r="A361">
        <v>361</v>
      </c>
      <c r="B361" t="s">
        <v>442</v>
      </c>
      <c r="C361" t="s">
        <v>198</v>
      </c>
      <c r="D361" t="s">
        <v>199</v>
      </c>
      <c r="E361" t="s">
        <v>199</v>
      </c>
      <c r="F361" t="s">
        <v>169</v>
      </c>
      <c r="G361" t="s">
        <v>3</v>
      </c>
      <c r="H361" t="s">
        <v>139</v>
      </c>
      <c r="I361" t="s">
        <v>170</v>
      </c>
      <c r="J361" t="s">
        <v>6</v>
      </c>
      <c r="K361" t="s">
        <v>12</v>
      </c>
      <c r="L361" t="s">
        <v>3</v>
      </c>
      <c r="N361" t="s">
        <v>12</v>
      </c>
      <c r="O361" t="s">
        <v>589</v>
      </c>
      <c r="P361" s="4" t="s">
        <v>594</v>
      </c>
      <c r="Q361" s="4" t="s">
        <v>593</v>
      </c>
    </row>
    <row r="362" spans="1:17" x14ac:dyDescent="0.2">
      <c r="A362">
        <v>362</v>
      </c>
      <c r="B362" t="s">
        <v>443</v>
      </c>
      <c r="C362" t="s">
        <v>198</v>
      </c>
      <c r="D362" t="s">
        <v>199</v>
      </c>
      <c r="E362" t="s">
        <v>199</v>
      </c>
      <c r="F362" t="s">
        <v>169</v>
      </c>
      <c r="G362" t="s">
        <v>3</v>
      </c>
      <c r="H362" t="s">
        <v>139</v>
      </c>
      <c r="I362" t="s">
        <v>170</v>
      </c>
      <c r="J362" t="s">
        <v>6</v>
      </c>
      <c r="K362" t="s">
        <v>12</v>
      </c>
      <c r="L362" t="s">
        <v>3</v>
      </c>
      <c r="N362" t="s">
        <v>12</v>
      </c>
      <c r="O362" t="s">
        <v>589</v>
      </c>
      <c r="P362" s="4" t="s">
        <v>594</v>
      </c>
      <c r="Q362" s="4" t="s">
        <v>593</v>
      </c>
    </row>
    <row r="363" spans="1:17" x14ac:dyDescent="0.2">
      <c r="A363">
        <v>364</v>
      </c>
      <c r="B363" t="s">
        <v>444</v>
      </c>
      <c r="C363" t="s">
        <v>198</v>
      </c>
      <c r="D363" t="s">
        <v>199</v>
      </c>
      <c r="E363" t="s">
        <v>199</v>
      </c>
      <c r="F363" t="s">
        <v>169</v>
      </c>
      <c r="G363" t="s">
        <v>3</v>
      </c>
      <c r="H363" t="s">
        <v>136</v>
      </c>
      <c r="I363" t="s">
        <v>170</v>
      </c>
      <c r="J363" t="s">
        <v>6</v>
      </c>
      <c r="K363" t="s">
        <v>12</v>
      </c>
      <c r="L363" t="s">
        <v>3</v>
      </c>
      <c r="N363" t="s">
        <v>12</v>
      </c>
      <c r="O363" t="s">
        <v>589</v>
      </c>
      <c r="P363" s="4" t="s">
        <v>594</v>
      </c>
      <c r="Q363" s="4" t="s">
        <v>593</v>
      </c>
    </row>
    <row r="364" spans="1:17" x14ac:dyDescent="0.2">
      <c r="A364">
        <v>365</v>
      </c>
      <c r="B364" t="s">
        <v>445</v>
      </c>
      <c r="C364" t="s">
        <v>198</v>
      </c>
      <c r="D364" t="s">
        <v>199</v>
      </c>
      <c r="E364" t="s">
        <v>199</v>
      </c>
      <c r="F364" t="s">
        <v>32</v>
      </c>
      <c r="G364" t="s">
        <v>3</v>
      </c>
      <c r="H364" t="s">
        <v>136</v>
      </c>
      <c r="I364" t="s">
        <v>170</v>
      </c>
      <c r="J364" t="s">
        <v>6</v>
      </c>
      <c r="K364" t="s">
        <v>12</v>
      </c>
      <c r="L364" t="s">
        <v>3</v>
      </c>
      <c r="N364" t="s">
        <v>12</v>
      </c>
      <c r="O364" t="s">
        <v>589</v>
      </c>
      <c r="P364" s="4" t="s">
        <v>594</v>
      </c>
      <c r="Q364" s="4" t="s">
        <v>593</v>
      </c>
    </row>
    <row r="365" spans="1:17" x14ac:dyDescent="0.2">
      <c r="A365">
        <v>366</v>
      </c>
      <c r="B365" t="s">
        <v>446</v>
      </c>
      <c r="C365" t="s">
        <v>198</v>
      </c>
      <c r="D365" t="s">
        <v>199</v>
      </c>
      <c r="E365" t="s">
        <v>199</v>
      </c>
      <c r="F365" t="s">
        <v>169</v>
      </c>
      <c r="G365" t="s">
        <v>3</v>
      </c>
      <c r="H365" t="s">
        <v>136</v>
      </c>
      <c r="I365" t="s">
        <v>170</v>
      </c>
      <c r="J365" t="s">
        <v>6</v>
      </c>
      <c r="K365" t="s">
        <v>12</v>
      </c>
      <c r="L365" t="s">
        <v>3</v>
      </c>
      <c r="N365" t="s">
        <v>12</v>
      </c>
      <c r="O365" t="s">
        <v>589</v>
      </c>
      <c r="P365" s="4" t="s">
        <v>594</v>
      </c>
      <c r="Q365" s="4" t="s">
        <v>593</v>
      </c>
    </row>
    <row r="366" spans="1:17" x14ac:dyDescent="0.2">
      <c r="A366">
        <v>367</v>
      </c>
      <c r="B366" t="s">
        <v>447</v>
      </c>
      <c r="C366" t="s">
        <v>198</v>
      </c>
      <c r="D366" t="s">
        <v>199</v>
      </c>
      <c r="E366" t="s">
        <v>199</v>
      </c>
      <c r="F366" t="s">
        <v>169</v>
      </c>
      <c r="G366" t="s">
        <v>3</v>
      </c>
      <c r="H366" t="s">
        <v>139</v>
      </c>
      <c r="I366" t="s">
        <v>170</v>
      </c>
      <c r="J366" t="s">
        <v>6</v>
      </c>
      <c r="K366" t="s">
        <v>12</v>
      </c>
      <c r="L366" t="s">
        <v>13</v>
      </c>
      <c r="N366" t="s">
        <v>12</v>
      </c>
      <c r="O366" t="s">
        <v>589</v>
      </c>
      <c r="P366" s="4" t="s">
        <v>594</v>
      </c>
      <c r="Q366" s="4" t="s">
        <v>593</v>
      </c>
    </row>
    <row r="367" spans="1:17" x14ac:dyDescent="0.2">
      <c r="A367">
        <v>368</v>
      </c>
      <c r="B367" t="s">
        <v>448</v>
      </c>
      <c r="C367" t="s">
        <v>198</v>
      </c>
      <c r="D367" t="s">
        <v>199</v>
      </c>
      <c r="E367" t="s">
        <v>199</v>
      </c>
      <c r="F367" t="s">
        <v>32</v>
      </c>
      <c r="G367" t="s">
        <v>3</v>
      </c>
      <c r="H367" t="s">
        <v>136</v>
      </c>
      <c r="I367" t="s">
        <v>170</v>
      </c>
      <c r="J367" t="s">
        <v>6</v>
      </c>
      <c r="K367" t="s">
        <v>12</v>
      </c>
      <c r="L367" t="s">
        <v>3</v>
      </c>
      <c r="N367" t="s">
        <v>12</v>
      </c>
      <c r="O367" t="s">
        <v>589</v>
      </c>
      <c r="P367" s="4" t="s">
        <v>594</v>
      </c>
      <c r="Q367" s="4" t="s">
        <v>593</v>
      </c>
    </row>
    <row r="368" spans="1:17" x14ac:dyDescent="0.2">
      <c r="A368">
        <v>363</v>
      </c>
      <c r="B368" t="s">
        <v>449</v>
      </c>
      <c r="C368" t="s">
        <v>198</v>
      </c>
      <c r="D368" t="s">
        <v>199</v>
      </c>
      <c r="E368" t="s">
        <v>199</v>
      </c>
      <c r="F368" t="s">
        <v>169</v>
      </c>
      <c r="G368" t="s">
        <v>3</v>
      </c>
      <c r="H368" t="s">
        <v>136</v>
      </c>
      <c r="I368" t="s">
        <v>170</v>
      </c>
      <c r="J368" t="s">
        <v>6</v>
      </c>
      <c r="K368" t="s">
        <v>12</v>
      </c>
      <c r="L368" t="s">
        <v>3</v>
      </c>
      <c r="N368" t="s">
        <v>12</v>
      </c>
      <c r="O368" t="s">
        <v>589</v>
      </c>
      <c r="P368" s="4" t="s">
        <v>594</v>
      </c>
      <c r="Q368" s="4" t="s">
        <v>593</v>
      </c>
    </row>
    <row r="369" spans="1:17" x14ac:dyDescent="0.2">
      <c r="A369">
        <v>369</v>
      </c>
      <c r="B369" t="s">
        <v>450</v>
      </c>
      <c r="C369" t="s">
        <v>198</v>
      </c>
      <c r="D369" t="s">
        <v>199</v>
      </c>
      <c r="E369" t="s">
        <v>199</v>
      </c>
      <c r="F369" t="s">
        <v>32</v>
      </c>
      <c r="G369" t="s">
        <v>3</v>
      </c>
      <c r="H369" t="s">
        <v>136</v>
      </c>
      <c r="I369" t="s">
        <v>170</v>
      </c>
      <c r="J369" t="s">
        <v>6</v>
      </c>
      <c r="K369" t="s">
        <v>12</v>
      </c>
      <c r="L369" t="s">
        <v>3</v>
      </c>
      <c r="N369" t="s">
        <v>12</v>
      </c>
      <c r="O369" t="s">
        <v>589</v>
      </c>
      <c r="P369" s="4" t="s">
        <v>594</v>
      </c>
      <c r="Q369" s="4" t="s">
        <v>593</v>
      </c>
    </row>
    <row r="370" spans="1:17" x14ac:dyDescent="0.2">
      <c r="A370">
        <v>370</v>
      </c>
      <c r="B370" t="s">
        <v>451</v>
      </c>
      <c r="C370" t="s">
        <v>198</v>
      </c>
      <c r="D370" t="s">
        <v>199</v>
      </c>
      <c r="E370" t="s">
        <v>199</v>
      </c>
      <c r="F370" t="s">
        <v>169</v>
      </c>
      <c r="G370" t="s">
        <v>3</v>
      </c>
      <c r="H370" t="s">
        <v>139</v>
      </c>
      <c r="I370" t="s">
        <v>170</v>
      </c>
      <c r="J370" t="s">
        <v>6</v>
      </c>
      <c r="K370" t="s">
        <v>12</v>
      </c>
      <c r="L370" t="s">
        <v>3</v>
      </c>
      <c r="N370" t="s">
        <v>12</v>
      </c>
      <c r="O370" t="s">
        <v>589</v>
      </c>
      <c r="P370" s="4" t="s">
        <v>594</v>
      </c>
      <c r="Q370" s="4" t="s">
        <v>593</v>
      </c>
    </row>
    <row r="371" spans="1:17" x14ac:dyDescent="0.2">
      <c r="A371">
        <v>371</v>
      </c>
      <c r="B371" t="s">
        <v>452</v>
      </c>
      <c r="C371" t="s">
        <v>198</v>
      </c>
      <c r="D371" t="s">
        <v>199</v>
      </c>
      <c r="E371" t="s">
        <v>199</v>
      </c>
      <c r="F371" t="s">
        <v>169</v>
      </c>
      <c r="G371" t="s">
        <v>3</v>
      </c>
      <c r="H371" t="s">
        <v>139</v>
      </c>
      <c r="I371" t="s">
        <v>170</v>
      </c>
      <c r="J371" t="s">
        <v>6</v>
      </c>
      <c r="K371" t="s">
        <v>12</v>
      </c>
      <c r="L371" t="s">
        <v>3</v>
      </c>
      <c r="N371" t="s">
        <v>12</v>
      </c>
      <c r="O371" t="s">
        <v>589</v>
      </c>
      <c r="P371" s="4" t="s">
        <v>594</v>
      </c>
      <c r="Q371" s="4" t="s">
        <v>593</v>
      </c>
    </row>
    <row r="372" spans="1:17" x14ac:dyDescent="0.2">
      <c r="A372">
        <v>372</v>
      </c>
      <c r="B372" t="s">
        <v>453</v>
      </c>
      <c r="C372" t="s">
        <v>198</v>
      </c>
      <c r="D372" t="s">
        <v>199</v>
      </c>
      <c r="E372" t="s">
        <v>199</v>
      </c>
      <c r="F372" t="s">
        <v>169</v>
      </c>
      <c r="G372" t="s">
        <v>3</v>
      </c>
      <c r="H372" t="s">
        <v>139</v>
      </c>
      <c r="I372" t="s">
        <v>170</v>
      </c>
      <c r="J372" t="s">
        <v>6</v>
      </c>
      <c r="K372" t="s">
        <v>12</v>
      </c>
      <c r="L372" t="s">
        <v>3</v>
      </c>
      <c r="N372" t="s">
        <v>12</v>
      </c>
      <c r="O372" t="s">
        <v>589</v>
      </c>
      <c r="P372" s="4" t="s">
        <v>594</v>
      </c>
      <c r="Q372" s="4" t="s">
        <v>593</v>
      </c>
    </row>
    <row r="373" spans="1:17" x14ac:dyDescent="0.2">
      <c r="A373">
        <v>374</v>
      </c>
      <c r="B373" t="s">
        <v>454</v>
      </c>
      <c r="C373" t="s">
        <v>198</v>
      </c>
      <c r="D373" t="s">
        <v>199</v>
      </c>
      <c r="E373" t="s">
        <v>199</v>
      </c>
      <c r="F373" t="s">
        <v>32</v>
      </c>
      <c r="G373" t="s">
        <v>3</v>
      </c>
      <c r="H373" t="s">
        <v>139</v>
      </c>
      <c r="I373" t="s">
        <v>170</v>
      </c>
      <c r="J373" t="s">
        <v>6</v>
      </c>
      <c r="K373" t="s">
        <v>12</v>
      </c>
      <c r="L373" t="s">
        <v>3</v>
      </c>
      <c r="N373" t="s">
        <v>12</v>
      </c>
      <c r="O373" t="s">
        <v>589</v>
      </c>
      <c r="P373" s="4" t="s">
        <v>594</v>
      </c>
      <c r="Q373" s="4" t="s">
        <v>593</v>
      </c>
    </row>
    <row r="374" spans="1:17" x14ac:dyDescent="0.2">
      <c r="A374">
        <v>375</v>
      </c>
      <c r="B374" t="s">
        <v>455</v>
      </c>
      <c r="C374" t="s">
        <v>198</v>
      </c>
      <c r="D374" t="s">
        <v>199</v>
      </c>
      <c r="E374" t="s">
        <v>199</v>
      </c>
      <c r="F374" t="s">
        <v>169</v>
      </c>
      <c r="G374" t="s">
        <v>3</v>
      </c>
      <c r="H374" t="s">
        <v>136</v>
      </c>
      <c r="I374" t="s">
        <v>170</v>
      </c>
      <c r="J374" t="s">
        <v>6</v>
      </c>
      <c r="K374" t="s">
        <v>12</v>
      </c>
      <c r="L374" t="s">
        <v>3</v>
      </c>
      <c r="N374" t="s">
        <v>12</v>
      </c>
      <c r="O374" t="s">
        <v>589</v>
      </c>
      <c r="P374" s="4" t="s">
        <v>594</v>
      </c>
      <c r="Q374" s="4" t="s">
        <v>593</v>
      </c>
    </row>
    <row r="375" spans="1:17" x14ac:dyDescent="0.2">
      <c r="A375">
        <v>376</v>
      </c>
      <c r="B375" t="s">
        <v>456</v>
      </c>
      <c r="C375" t="s">
        <v>198</v>
      </c>
      <c r="D375" t="s">
        <v>199</v>
      </c>
      <c r="E375" t="s">
        <v>199</v>
      </c>
      <c r="F375" t="s">
        <v>32</v>
      </c>
      <c r="G375" t="s">
        <v>3</v>
      </c>
      <c r="H375" t="s">
        <v>136</v>
      </c>
      <c r="I375" t="s">
        <v>170</v>
      </c>
      <c r="J375" t="s">
        <v>6</v>
      </c>
      <c r="K375" t="s">
        <v>12</v>
      </c>
      <c r="L375" t="s">
        <v>3</v>
      </c>
      <c r="N375" t="s">
        <v>12</v>
      </c>
      <c r="O375" t="s">
        <v>589</v>
      </c>
      <c r="P375" s="4" t="s">
        <v>594</v>
      </c>
      <c r="Q375" s="4" t="s">
        <v>593</v>
      </c>
    </row>
    <row r="376" spans="1:17" x14ac:dyDescent="0.2">
      <c r="A376">
        <v>377</v>
      </c>
      <c r="B376" t="s">
        <v>457</v>
      </c>
      <c r="C376" t="s">
        <v>198</v>
      </c>
      <c r="D376" t="s">
        <v>199</v>
      </c>
      <c r="E376" t="s">
        <v>199</v>
      </c>
      <c r="F376" t="s">
        <v>169</v>
      </c>
      <c r="G376" t="s">
        <v>3</v>
      </c>
      <c r="H376" t="s">
        <v>136</v>
      </c>
      <c r="I376" t="s">
        <v>170</v>
      </c>
      <c r="J376" t="s">
        <v>6</v>
      </c>
      <c r="K376" t="s">
        <v>12</v>
      </c>
      <c r="L376" t="s">
        <v>3</v>
      </c>
      <c r="N376" t="s">
        <v>12</v>
      </c>
      <c r="O376" t="s">
        <v>589</v>
      </c>
      <c r="P376" s="4" t="s">
        <v>594</v>
      </c>
      <c r="Q376" s="4" t="s">
        <v>593</v>
      </c>
    </row>
    <row r="377" spans="1:17" x14ac:dyDescent="0.2">
      <c r="A377">
        <v>378</v>
      </c>
      <c r="B377" t="s">
        <v>458</v>
      </c>
      <c r="C377" t="s">
        <v>198</v>
      </c>
      <c r="D377" t="s">
        <v>199</v>
      </c>
      <c r="E377" t="s">
        <v>199</v>
      </c>
      <c r="F377" t="s">
        <v>169</v>
      </c>
      <c r="G377" t="s">
        <v>3</v>
      </c>
      <c r="H377" t="s">
        <v>136</v>
      </c>
      <c r="I377" t="s">
        <v>170</v>
      </c>
      <c r="J377" t="s">
        <v>6</v>
      </c>
      <c r="K377" t="s">
        <v>12</v>
      </c>
      <c r="L377" t="s">
        <v>3</v>
      </c>
      <c r="N377" t="s">
        <v>12</v>
      </c>
      <c r="O377" t="s">
        <v>589</v>
      </c>
      <c r="P377" s="4" t="s">
        <v>594</v>
      </c>
      <c r="Q377" s="4" t="s">
        <v>593</v>
      </c>
    </row>
    <row r="378" spans="1:17" x14ac:dyDescent="0.2">
      <c r="A378">
        <v>379</v>
      </c>
      <c r="B378" t="s">
        <v>459</v>
      </c>
      <c r="C378" t="s">
        <v>198</v>
      </c>
      <c r="D378" t="s">
        <v>199</v>
      </c>
      <c r="E378" t="s">
        <v>199</v>
      </c>
      <c r="F378" t="s">
        <v>169</v>
      </c>
      <c r="G378" t="s">
        <v>3</v>
      </c>
      <c r="H378" t="s">
        <v>139</v>
      </c>
      <c r="I378" t="s">
        <v>170</v>
      </c>
      <c r="J378" t="s">
        <v>6</v>
      </c>
      <c r="K378" t="s">
        <v>12</v>
      </c>
      <c r="L378" t="s">
        <v>13</v>
      </c>
      <c r="N378" t="s">
        <v>12</v>
      </c>
      <c r="O378" t="s">
        <v>589</v>
      </c>
      <c r="P378" s="4" t="s">
        <v>594</v>
      </c>
      <c r="Q378" s="4" t="s">
        <v>593</v>
      </c>
    </row>
    <row r="379" spans="1:17" x14ac:dyDescent="0.2">
      <c r="A379">
        <v>380</v>
      </c>
      <c r="B379" t="s">
        <v>460</v>
      </c>
      <c r="C379" t="s">
        <v>198</v>
      </c>
      <c r="D379" t="s">
        <v>199</v>
      </c>
      <c r="E379" t="s">
        <v>199</v>
      </c>
      <c r="F379" t="s">
        <v>32</v>
      </c>
      <c r="G379" t="s">
        <v>3</v>
      </c>
      <c r="H379" t="s">
        <v>136</v>
      </c>
      <c r="I379" t="s">
        <v>170</v>
      </c>
      <c r="J379" t="s">
        <v>6</v>
      </c>
      <c r="K379" t="s">
        <v>12</v>
      </c>
      <c r="L379" t="s">
        <v>3</v>
      </c>
      <c r="N379" t="s">
        <v>12</v>
      </c>
      <c r="O379" t="s">
        <v>589</v>
      </c>
      <c r="P379" s="4" t="s">
        <v>594</v>
      </c>
      <c r="Q379" s="4" t="s">
        <v>593</v>
      </c>
    </row>
    <row r="380" spans="1:17" x14ac:dyDescent="0.2">
      <c r="A380">
        <v>373</v>
      </c>
      <c r="B380" t="s">
        <v>461</v>
      </c>
      <c r="C380" t="s">
        <v>198</v>
      </c>
      <c r="D380" t="s">
        <v>199</v>
      </c>
      <c r="E380" t="s">
        <v>199</v>
      </c>
      <c r="F380" t="s">
        <v>169</v>
      </c>
      <c r="G380" t="s">
        <v>3</v>
      </c>
      <c r="H380" t="s">
        <v>136</v>
      </c>
      <c r="I380" t="s">
        <v>170</v>
      </c>
      <c r="J380" t="s">
        <v>6</v>
      </c>
      <c r="K380" t="s">
        <v>12</v>
      </c>
      <c r="L380" t="s">
        <v>3</v>
      </c>
      <c r="N380" t="s">
        <v>12</v>
      </c>
      <c r="O380" t="s">
        <v>589</v>
      </c>
      <c r="P380" s="4" t="s">
        <v>594</v>
      </c>
      <c r="Q380" s="4" t="s">
        <v>593</v>
      </c>
    </row>
    <row r="381" spans="1:17" x14ac:dyDescent="0.2">
      <c r="A381">
        <v>381</v>
      </c>
      <c r="B381" t="s">
        <v>462</v>
      </c>
      <c r="C381" t="s">
        <v>198</v>
      </c>
      <c r="D381" t="s">
        <v>199</v>
      </c>
      <c r="E381" t="s">
        <v>199</v>
      </c>
      <c r="F381" t="s">
        <v>32</v>
      </c>
      <c r="G381" t="s">
        <v>3</v>
      </c>
      <c r="H381" t="s">
        <v>136</v>
      </c>
      <c r="I381" t="s">
        <v>170</v>
      </c>
      <c r="J381" t="s">
        <v>6</v>
      </c>
      <c r="K381" t="s">
        <v>12</v>
      </c>
      <c r="L381" t="s">
        <v>3</v>
      </c>
      <c r="N381" t="s">
        <v>12</v>
      </c>
      <c r="O381" t="s">
        <v>589</v>
      </c>
      <c r="P381" s="4" t="s">
        <v>594</v>
      </c>
      <c r="Q381" s="4" t="s">
        <v>593</v>
      </c>
    </row>
    <row r="382" spans="1:17" x14ac:dyDescent="0.2">
      <c r="A382">
        <v>382</v>
      </c>
      <c r="B382" t="s">
        <v>463</v>
      </c>
      <c r="C382" t="s">
        <v>198</v>
      </c>
      <c r="D382" t="s">
        <v>199</v>
      </c>
      <c r="E382" t="s">
        <v>199</v>
      </c>
      <c r="F382" t="s">
        <v>32</v>
      </c>
      <c r="G382" t="s">
        <v>3</v>
      </c>
      <c r="H382" t="s">
        <v>136</v>
      </c>
      <c r="I382" t="s">
        <v>170</v>
      </c>
      <c r="J382" t="s">
        <v>6</v>
      </c>
      <c r="K382" t="s">
        <v>12</v>
      </c>
      <c r="L382" t="s">
        <v>3</v>
      </c>
      <c r="N382" t="s">
        <v>12</v>
      </c>
      <c r="O382" t="s">
        <v>589</v>
      </c>
      <c r="P382" s="4" t="s">
        <v>594</v>
      </c>
      <c r="Q382" s="4" t="s">
        <v>593</v>
      </c>
    </row>
    <row r="383" spans="1:17" x14ac:dyDescent="0.2">
      <c r="A383">
        <v>383</v>
      </c>
      <c r="B383" t="s">
        <v>464</v>
      </c>
      <c r="C383" t="s">
        <v>198</v>
      </c>
      <c r="D383" t="s">
        <v>199</v>
      </c>
      <c r="E383" t="s">
        <v>199</v>
      </c>
      <c r="F383" t="s">
        <v>169</v>
      </c>
      <c r="G383" t="s">
        <v>3</v>
      </c>
      <c r="H383" t="s">
        <v>139</v>
      </c>
      <c r="I383" t="s">
        <v>170</v>
      </c>
      <c r="J383" t="s">
        <v>6</v>
      </c>
      <c r="K383" t="s">
        <v>12</v>
      </c>
      <c r="L383" t="s">
        <v>3</v>
      </c>
      <c r="N383" t="s">
        <v>12</v>
      </c>
      <c r="O383" t="s">
        <v>589</v>
      </c>
      <c r="P383" s="4" t="s">
        <v>594</v>
      </c>
      <c r="Q383" s="4" t="s">
        <v>593</v>
      </c>
    </row>
    <row r="384" spans="1:17" x14ac:dyDescent="0.2">
      <c r="A384">
        <v>384</v>
      </c>
      <c r="B384" t="s">
        <v>465</v>
      </c>
      <c r="C384" t="s">
        <v>198</v>
      </c>
      <c r="D384" t="s">
        <v>199</v>
      </c>
      <c r="E384" t="s">
        <v>199</v>
      </c>
      <c r="F384" t="s">
        <v>169</v>
      </c>
      <c r="G384" t="s">
        <v>3</v>
      </c>
      <c r="H384" t="s">
        <v>139</v>
      </c>
      <c r="I384" t="s">
        <v>170</v>
      </c>
      <c r="J384" t="s">
        <v>6</v>
      </c>
      <c r="K384" t="s">
        <v>12</v>
      </c>
      <c r="L384" t="s">
        <v>3</v>
      </c>
      <c r="N384" t="s">
        <v>12</v>
      </c>
      <c r="O384" t="s">
        <v>589</v>
      </c>
      <c r="P384" s="4" t="s">
        <v>594</v>
      </c>
      <c r="Q384" s="4" t="s">
        <v>593</v>
      </c>
    </row>
    <row r="385" spans="1:17" x14ac:dyDescent="0.2">
      <c r="A385">
        <v>385</v>
      </c>
      <c r="B385" t="s">
        <v>466</v>
      </c>
      <c r="C385" t="s">
        <v>198</v>
      </c>
      <c r="D385" t="s">
        <v>199</v>
      </c>
      <c r="E385" t="s">
        <v>199</v>
      </c>
      <c r="F385" t="s">
        <v>169</v>
      </c>
      <c r="G385" t="s">
        <v>3</v>
      </c>
      <c r="H385" t="s">
        <v>139</v>
      </c>
      <c r="I385" t="s">
        <v>170</v>
      </c>
      <c r="J385" t="s">
        <v>6</v>
      </c>
      <c r="K385" t="s">
        <v>12</v>
      </c>
      <c r="L385" t="s">
        <v>3</v>
      </c>
      <c r="N385" t="s">
        <v>12</v>
      </c>
      <c r="O385" t="s">
        <v>589</v>
      </c>
      <c r="P385" s="4" t="s">
        <v>594</v>
      </c>
      <c r="Q385" s="4" t="s">
        <v>593</v>
      </c>
    </row>
    <row r="386" spans="1:17" x14ac:dyDescent="0.2">
      <c r="A386">
        <v>387</v>
      </c>
      <c r="B386" t="s">
        <v>467</v>
      </c>
      <c r="C386" t="s">
        <v>198</v>
      </c>
      <c r="D386" t="s">
        <v>199</v>
      </c>
      <c r="E386" t="s">
        <v>199</v>
      </c>
      <c r="F386" t="s">
        <v>32</v>
      </c>
      <c r="G386" t="s">
        <v>3</v>
      </c>
      <c r="H386" t="s">
        <v>139</v>
      </c>
      <c r="I386" t="s">
        <v>170</v>
      </c>
      <c r="J386" t="s">
        <v>6</v>
      </c>
      <c r="K386" t="s">
        <v>12</v>
      </c>
      <c r="L386" t="s">
        <v>3</v>
      </c>
      <c r="N386" t="s">
        <v>12</v>
      </c>
      <c r="O386" t="s">
        <v>589</v>
      </c>
      <c r="P386" s="4" t="s">
        <v>594</v>
      </c>
      <c r="Q386" s="4" t="s">
        <v>593</v>
      </c>
    </row>
    <row r="387" spans="1:17" x14ac:dyDescent="0.2">
      <c r="A387">
        <v>388</v>
      </c>
      <c r="B387" t="s">
        <v>468</v>
      </c>
      <c r="C387" t="s">
        <v>198</v>
      </c>
      <c r="D387" t="s">
        <v>199</v>
      </c>
      <c r="E387" t="s">
        <v>199</v>
      </c>
      <c r="F387" t="s">
        <v>32</v>
      </c>
      <c r="G387" t="s">
        <v>3</v>
      </c>
      <c r="H387" t="s">
        <v>136</v>
      </c>
      <c r="I387" t="s">
        <v>170</v>
      </c>
      <c r="J387" t="s">
        <v>6</v>
      </c>
      <c r="K387" t="s">
        <v>12</v>
      </c>
      <c r="L387" t="s">
        <v>3</v>
      </c>
      <c r="N387" t="s">
        <v>12</v>
      </c>
      <c r="O387" t="s">
        <v>589</v>
      </c>
      <c r="P387" s="4" t="s">
        <v>594</v>
      </c>
      <c r="Q387" s="4" t="s">
        <v>593</v>
      </c>
    </row>
    <row r="388" spans="1:17" x14ac:dyDescent="0.2">
      <c r="A388">
        <v>386</v>
      </c>
      <c r="B388" t="s">
        <v>469</v>
      </c>
      <c r="C388" t="s">
        <v>198</v>
      </c>
      <c r="D388" t="s">
        <v>199</v>
      </c>
      <c r="E388" t="s">
        <v>199</v>
      </c>
      <c r="F388" t="s">
        <v>169</v>
      </c>
      <c r="G388" t="s">
        <v>3</v>
      </c>
      <c r="H388" t="s">
        <v>136</v>
      </c>
      <c r="I388" t="s">
        <v>170</v>
      </c>
      <c r="J388" t="s">
        <v>6</v>
      </c>
      <c r="K388" t="s">
        <v>12</v>
      </c>
      <c r="L388" t="s">
        <v>3</v>
      </c>
      <c r="N388" t="s">
        <v>12</v>
      </c>
      <c r="O388" t="s">
        <v>589</v>
      </c>
      <c r="P388" s="4" t="s">
        <v>594</v>
      </c>
      <c r="Q388" s="4" t="s">
        <v>593</v>
      </c>
    </row>
    <row r="389" spans="1:17" x14ac:dyDescent="0.2">
      <c r="A389">
        <v>389</v>
      </c>
      <c r="B389" t="s">
        <v>470</v>
      </c>
      <c r="C389" t="s">
        <v>198</v>
      </c>
      <c r="D389" t="s">
        <v>199</v>
      </c>
      <c r="E389" t="s">
        <v>199</v>
      </c>
      <c r="F389" t="s">
        <v>32</v>
      </c>
      <c r="G389" t="s">
        <v>3</v>
      </c>
      <c r="H389" t="s">
        <v>136</v>
      </c>
      <c r="I389" t="s">
        <v>170</v>
      </c>
      <c r="J389" t="s">
        <v>6</v>
      </c>
      <c r="K389" t="s">
        <v>12</v>
      </c>
      <c r="L389" t="s">
        <v>3</v>
      </c>
      <c r="N389" t="s">
        <v>12</v>
      </c>
      <c r="O389" t="s">
        <v>589</v>
      </c>
      <c r="P389" s="4" t="s">
        <v>594</v>
      </c>
      <c r="Q389" s="4" t="s">
        <v>593</v>
      </c>
    </row>
    <row r="390" spans="1:17" x14ac:dyDescent="0.2">
      <c r="A390">
        <v>390</v>
      </c>
      <c r="B390" t="s">
        <v>471</v>
      </c>
      <c r="C390" t="s">
        <v>198</v>
      </c>
      <c r="D390" t="s">
        <v>199</v>
      </c>
      <c r="E390" t="s">
        <v>199</v>
      </c>
      <c r="F390" t="s">
        <v>169</v>
      </c>
      <c r="G390" t="s">
        <v>3</v>
      </c>
      <c r="H390" t="s">
        <v>139</v>
      </c>
      <c r="I390" t="s">
        <v>170</v>
      </c>
      <c r="J390" t="s">
        <v>6</v>
      </c>
      <c r="K390" t="s">
        <v>12</v>
      </c>
      <c r="L390" t="s">
        <v>3</v>
      </c>
      <c r="N390" t="s">
        <v>12</v>
      </c>
      <c r="O390" t="s">
        <v>589</v>
      </c>
      <c r="P390" s="4" t="s">
        <v>594</v>
      </c>
      <c r="Q390" s="4" t="s">
        <v>593</v>
      </c>
    </row>
    <row r="391" spans="1:17" x14ac:dyDescent="0.2">
      <c r="A391">
        <v>321</v>
      </c>
      <c r="B391" t="s">
        <v>472</v>
      </c>
      <c r="C391" t="s">
        <v>15</v>
      </c>
      <c r="D391" t="s">
        <v>15</v>
      </c>
      <c r="E391" t="s">
        <v>15</v>
      </c>
      <c r="F391" t="s">
        <v>233</v>
      </c>
      <c r="G391" t="s">
        <v>3</v>
      </c>
      <c r="H391" t="s">
        <v>136</v>
      </c>
      <c r="I391" t="s">
        <v>170</v>
      </c>
      <c r="J391" t="s">
        <v>19</v>
      </c>
      <c r="K391" t="s">
        <v>171</v>
      </c>
      <c r="L391" t="s">
        <v>206</v>
      </c>
    </row>
    <row r="392" spans="1:17" x14ac:dyDescent="0.2">
      <c r="A392">
        <v>391</v>
      </c>
      <c r="B392" t="s">
        <v>473</v>
      </c>
      <c r="C392" t="s">
        <v>198</v>
      </c>
      <c r="D392" t="s">
        <v>199</v>
      </c>
      <c r="E392" t="s">
        <v>199</v>
      </c>
      <c r="F392" t="s">
        <v>169</v>
      </c>
      <c r="G392" t="s">
        <v>3</v>
      </c>
      <c r="H392" t="s">
        <v>136</v>
      </c>
      <c r="I392" t="s">
        <v>170</v>
      </c>
      <c r="J392" t="s">
        <v>6</v>
      </c>
      <c r="K392" t="s">
        <v>12</v>
      </c>
      <c r="L392" t="s">
        <v>3</v>
      </c>
    </row>
    <row r="393" spans="1:17" x14ac:dyDescent="0.2">
      <c r="A393">
        <v>392</v>
      </c>
      <c r="B393" t="s">
        <v>474</v>
      </c>
      <c r="C393" t="s">
        <v>198</v>
      </c>
      <c r="D393" t="s">
        <v>199</v>
      </c>
      <c r="E393" t="s">
        <v>199</v>
      </c>
      <c r="F393" t="s">
        <v>169</v>
      </c>
      <c r="G393" t="s">
        <v>3</v>
      </c>
      <c r="H393" t="s">
        <v>136</v>
      </c>
      <c r="I393" t="s">
        <v>170</v>
      </c>
      <c r="J393" t="s">
        <v>6</v>
      </c>
      <c r="K393" t="s">
        <v>12</v>
      </c>
      <c r="L393" t="s">
        <v>3</v>
      </c>
    </row>
    <row r="394" spans="1:17" x14ac:dyDescent="0.2">
      <c r="A394">
        <v>393</v>
      </c>
      <c r="B394" t="s">
        <v>475</v>
      </c>
      <c r="C394" t="s">
        <v>198</v>
      </c>
      <c r="D394" t="s">
        <v>199</v>
      </c>
      <c r="E394" t="s">
        <v>199</v>
      </c>
      <c r="F394" t="s">
        <v>169</v>
      </c>
      <c r="G394" t="s">
        <v>3</v>
      </c>
      <c r="H394" t="s">
        <v>136</v>
      </c>
      <c r="I394" t="s">
        <v>170</v>
      </c>
      <c r="J394" t="s">
        <v>6</v>
      </c>
      <c r="K394" t="s">
        <v>12</v>
      </c>
      <c r="L394" t="s">
        <v>3</v>
      </c>
    </row>
    <row r="395" spans="1:17" x14ac:dyDescent="0.2">
      <c r="A395">
        <v>394</v>
      </c>
      <c r="B395" t="s">
        <v>476</v>
      </c>
      <c r="C395" t="s">
        <v>198</v>
      </c>
      <c r="D395" t="s">
        <v>199</v>
      </c>
      <c r="E395" t="s">
        <v>199</v>
      </c>
      <c r="F395" t="s">
        <v>169</v>
      </c>
      <c r="G395" t="s">
        <v>3</v>
      </c>
      <c r="H395" t="s">
        <v>136</v>
      </c>
      <c r="I395" t="s">
        <v>170</v>
      </c>
      <c r="J395" t="s">
        <v>6</v>
      </c>
      <c r="K395" t="s">
        <v>12</v>
      </c>
      <c r="L395" t="s">
        <v>3</v>
      </c>
    </row>
    <row r="396" spans="1:17" x14ac:dyDescent="0.2">
      <c r="A396">
        <v>395</v>
      </c>
      <c r="B396" t="s">
        <v>477</v>
      </c>
      <c r="C396" t="s">
        <v>198</v>
      </c>
      <c r="D396" t="s">
        <v>199</v>
      </c>
      <c r="E396" t="s">
        <v>199</v>
      </c>
      <c r="F396" t="s">
        <v>169</v>
      </c>
      <c r="G396" t="s">
        <v>3</v>
      </c>
      <c r="H396" t="s">
        <v>136</v>
      </c>
      <c r="I396" t="s">
        <v>170</v>
      </c>
      <c r="J396" t="s">
        <v>6</v>
      </c>
      <c r="K396" t="s">
        <v>12</v>
      </c>
      <c r="L396" t="s">
        <v>3</v>
      </c>
    </row>
    <row r="397" spans="1:17" x14ac:dyDescent="0.2">
      <c r="A397">
        <v>322</v>
      </c>
      <c r="B397" t="s">
        <v>478</v>
      </c>
      <c r="C397" t="s">
        <v>167</v>
      </c>
      <c r="D397" t="s">
        <v>168</v>
      </c>
      <c r="E397" t="s">
        <v>168</v>
      </c>
      <c r="F397" t="s">
        <v>1</v>
      </c>
      <c r="G397" t="s">
        <v>3</v>
      </c>
      <c r="H397" t="s">
        <v>139</v>
      </c>
      <c r="I397" t="s">
        <v>170</v>
      </c>
      <c r="J397" t="s">
        <v>6</v>
      </c>
      <c r="K397" t="s">
        <v>171</v>
      </c>
      <c r="L397" t="s">
        <v>3</v>
      </c>
    </row>
    <row r="398" spans="1:17" x14ac:dyDescent="0.2">
      <c r="A398">
        <v>396</v>
      </c>
      <c r="B398" t="s">
        <v>479</v>
      </c>
      <c r="C398" t="s">
        <v>221</v>
      </c>
      <c r="D398" t="s">
        <v>222</v>
      </c>
      <c r="E398" t="s">
        <v>222</v>
      </c>
      <c r="F398" t="s">
        <v>40</v>
      </c>
      <c r="G398">
        <v>2</v>
      </c>
      <c r="H398" t="s">
        <v>4</v>
      </c>
      <c r="I398" t="s">
        <v>170</v>
      </c>
      <c r="J398" t="s">
        <v>19</v>
      </c>
      <c r="K398" t="s">
        <v>171</v>
      </c>
      <c r="L398" t="s">
        <v>206</v>
      </c>
    </row>
    <row r="399" spans="1:17" x14ac:dyDescent="0.2">
      <c r="A399">
        <v>397</v>
      </c>
      <c r="B399" t="s">
        <v>480</v>
      </c>
      <c r="C399" t="s">
        <v>142</v>
      </c>
      <c r="D399" t="s">
        <v>142</v>
      </c>
      <c r="E399" t="s">
        <v>142</v>
      </c>
      <c r="F399" t="s">
        <v>32</v>
      </c>
      <c r="G399" t="s">
        <v>3</v>
      </c>
      <c r="H399" t="s">
        <v>136</v>
      </c>
      <c r="I399" t="s">
        <v>170</v>
      </c>
      <c r="J399" t="s">
        <v>6</v>
      </c>
      <c r="K399" t="s">
        <v>1</v>
      </c>
      <c r="L399" t="s">
        <v>3</v>
      </c>
    </row>
    <row r="400" spans="1:17" x14ac:dyDescent="0.2">
      <c r="A400">
        <v>398</v>
      </c>
      <c r="B400" t="s">
        <v>481</v>
      </c>
      <c r="C400" t="s">
        <v>142</v>
      </c>
      <c r="D400" t="s">
        <v>142</v>
      </c>
      <c r="E400" t="s">
        <v>142</v>
      </c>
      <c r="F400" t="s">
        <v>32</v>
      </c>
      <c r="G400" t="s">
        <v>3</v>
      </c>
      <c r="H400" t="s">
        <v>136</v>
      </c>
      <c r="I400" t="s">
        <v>170</v>
      </c>
      <c r="J400" t="s">
        <v>19</v>
      </c>
      <c r="K400" t="s">
        <v>1</v>
      </c>
      <c r="L400" t="s">
        <v>145</v>
      </c>
    </row>
    <row r="401" spans="1:14" x14ac:dyDescent="0.2">
      <c r="A401">
        <v>399</v>
      </c>
      <c r="B401" t="s">
        <v>482</v>
      </c>
      <c r="C401" t="s">
        <v>142</v>
      </c>
      <c r="D401" t="s">
        <v>142</v>
      </c>
      <c r="E401" t="s">
        <v>142</v>
      </c>
      <c r="F401" t="s">
        <v>32</v>
      </c>
      <c r="G401" t="s">
        <v>3</v>
      </c>
      <c r="H401" t="s">
        <v>136</v>
      </c>
      <c r="I401" t="s">
        <v>170</v>
      </c>
      <c r="J401" t="s">
        <v>6</v>
      </c>
      <c r="K401" t="s">
        <v>1</v>
      </c>
      <c r="L401" t="s">
        <v>3</v>
      </c>
    </row>
    <row r="402" spans="1:14" x14ac:dyDescent="0.2">
      <c r="A402">
        <v>400</v>
      </c>
      <c r="B402" t="s">
        <v>483</v>
      </c>
      <c r="C402" t="s">
        <v>142</v>
      </c>
      <c r="D402" t="s">
        <v>142</v>
      </c>
      <c r="E402" t="s">
        <v>142</v>
      </c>
      <c r="F402" t="s">
        <v>32</v>
      </c>
      <c r="G402" t="s">
        <v>3</v>
      </c>
      <c r="H402" t="s">
        <v>136</v>
      </c>
      <c r="I402" t="s">
        <v>170</v>
      </c>
      <c r="J402" t="s">
        <v>6</v>
      </c>
      <c r="K402" t="s">
        <v>1</v>
      </c>
      <c r="L402" t="s">
        <v>3</v>
      </c>
    </row>
    <row r="403" spans="1:14" x14ac:dyDescent="0.2">
      <c r="A403">
        <v>401</v>
      </c>
      <c r="B403" t="s">
        <v>484</v>
      </c>
      <c r="C403" t="s">
        <v>142</v>
      </c>
      <c r="D403" t="s">
        <v>142</v>
      </c>
      <c r="E403" t="s">
        <v>142</v>
      </c>
      <c r="F403" t="s">
        <v>18</v>
      </c>
      <c r="G403">
        <v>1</v>
      </c>
      <c r="H403" t="s">
        <v>136</v>
      </c>
      <c r="I403" t="s">
        <v>170</v>
      </c>
      <c r="J403" t="s">
        <v>19</v>
      </c>
      <c r="K403" t="s">
        <v>1</v>
      </c>
      <c r="L403" t="s">
        <v>145</v>
      </c>
    </row>
    <row r="404" spans="1:14" x14ac:dyDescent="0.2">
      <c r="A404">
        <v>402</v>
      </c>
      <c r="B404" t="s">
        <v>485</v>
      </c>
      <c r="C404" t="s">
        <v>142</v>
      </c>
      <c r="D404" t="s">
        <v>142</v>
      </c>
      <c r="E404" t="s">
        <v>142</v>
      </c>
      <c r="F404" t="s">
        <v>32</v>
      </c>
      <c r="G404" t="s">
        <v>3</v>
      </c>
      <c r="H404" t="s">
        <v>136</v>
      </c>
      <c r="I404" t="s">
        <v>170</v>
      </c>
      <c r="J404" t="s">
        <v>6</v>
      </c>
      <c r="K404" t="s">
        <v>1</v>
      </c>
      <c r="L404" t="s">
        <v>3</v>
      </c>
    </row>
    <row r="405" spans="1:14" x14ac:dyDescent="0.2">
      <c r="A405">
        <v>403</v>
      </c>
      <c r="B405" t="s">
        <v>486</v>
      </c>
      <c r="C405" t="s">
        <v>142</v>
      </c>
      <c r="D405" t="s">
        <v>142</v>
      </c>
      <c r="E405" t="s">
        <v>142</v>
      </c>
      <c r="F405" t="s">
        <v>32</v>
      </c>
      <c r="G405" t="s">
        <v>3</v>
      </c>
      <c r="H405" t="s">
        <v>136</v>
      </c>
      <c r="I405" t="s">
        <v>170</v>
      </c>
      <c r="J405" t="s">
        <v>19</v>
      </c>
      <c r="K405" t="s">
        <v>1</v>
      </c>
      <c r="L405" t="s">
        <v>145</v>
      </c>
    </row>
    <row r="406" spans="1:14" x14ac:dyDescent="0.2">
      <c r="A406">
        <v>404</v>
      </c>
      <c r="B406" t="s">
        <v>487</v>
      </c>
      <c r="C406" t="s">
        <v>142</v>
      </c>
      <c r="D406" t="s">
        <v>142</v>
      </c>
      <c r="E406" t="s">
        <v>142</v>
      </c>
      <c r="F406" t="s">
        <v>32</v>
      </c>
      <c r="G406" t="s">
        <v>3</v>
      </c>
      <c r="H406" t="s">
        <v>136</v>
      </c>
      <c r="I406" t="s">
        <v>170</v>
      </c>
      <c r="J406" t="s">
        <v>6</v>
      </c>
      <c r="K406" t="s">
        <v>1</v>
      </c>
      <c r="L406" t="s">
        <v>3</v>
      </c>
    </row>
    <row r="407" spans="1:14" x14ac:dyDescent="0.2">
      <c r="A407">
        <v>405</v>
      </c>
      <c r="B407" t="s">
        <v>488</v>
      </c>
      <c r="C407" t="s">
        <v>142</v>
      </c>
      <c r="D407" t="s">
        <v>142</v>
      </c>
      <c r="E407" t="s">
        <v>142</v>
      </c>
      <c r="F407" t="s">
        <v>32</v>
      </c>
      <c r="G407" t="s">
        <v>3</v>
      </c>
      <c r="H407" t="s">
        <v>136</v>
      </c>
      <c r="I407" t="s">
        <v>170</v>
      </c>
      <c r="J407" t="s">
        <v>19</v>
      </c>
      <c r="K407" t="s">
        <v>1</v>
      </c>
      <c r="L407" t="s">
        <v>145</v>
      </c>
    </row>
    <row r="408" spans="1:14" x14ac:dyDescent="0.2">
      <c r="A408">
        <v>406</v>
      </c>
      <c r="B408" t="s">
        <v>489</v>
      </c>
      <c r="C408" t="s">
        <v>142</v>
      </c>
      <c r="D408" t="s">
        <v>142</v>
      </c>
      <c r="E408" t="s">
        <v>142</v>
      </c>
      <c r="F408" t="s">
        <v>490</v>
      </c>
      <c r="G408" t="s">
        <v>3</v>
      </c>
      <c r="H408" t="s">
        <v>136</v>
      </c>
      <c r="I408" t="s">
        <v>170</v>
      </c>
      <c r="J408" t="s">
        <v>6</v>
      </c>
      <c r="K408" t="s">
        <v>1</v>
      </c>
      <c r="L408" t="s">
        <v>3</v>
      </c>
    </row>
    <row r="409" spans="1:14" x14ac:dyDescent="0.2">
      <c r="A409">
        <v>407</v>
      </c>
      <c r="B409" t="s">
        <v>491</v>
      </c>
      <c r="C409" t="s">
        <v>8</v>
      </c>
      <c r="D409" t="s">
        <v>8</v>
      </c>
      <c r="E409" t="s">
        <v>8</v>
      </c>
      <c r="F409" t="s">
        <v>1</v>
      </c>
      <c r="G409" t="s">
        <v>3</v>
      </c>
      <c r="H409" t="s">
        <v>136</v>
      </c>
      <c r="I409" t="s">
        <v>170</v>
      </c>
      <c r="J409" t="s">
        <v>6</v>
      </c>
      <c r="K409" t="s">
        <v>1</v>
      </c>
      <c r="L409" t="s">
        <v>3</v>
      </c>
    </row>
    <row r="410" spans="1:14" x14ac:dyDescent="0.2">
      <c r="A410">
        <v>408</v>
      </c>
      <c r="B410" t="s">
        <v>492</v>
      </c>
      <c r="C410" t="s">
        <v>142</v>
      </c>
      <c r="D410" t="s">
        <v>142</v>
      </c>
      <c r="E410" t="s">
        <v>142</v>
      </c>
      <c r="F410" t="s">
        <v>32</v>
      </c>
      <c r="G410" t="s">
        <v>3</v>
      </c>
      <c r="H410" t="s">
        <v>136</v>
      </c>
      <c r="I410" t="s">
        <v>170</v>
      </c>
      <c r="J410" t="s">
        <v>6</v>
      </c>
      <c r="K410" t="s">
        <v>1</v>
      </c>
      <c r="L410" t="s">
        <v>3</v>
      </c>
      <c r="N410" t="s">
        <v>585</v>
      </c>
    </row>
    <row r="411" spans="1:14" x14ac:dyDescent="0.2">
      <c r="A411">
        <v>409</v>
      </c>
      <c r="B411" t="s">
        <v>493</v>
      </c>
      <c r="C411" t="s">
        <v>142</v>
      </c>
      <c r="D411" t="s">
        <v>142</v>
      </c>
      <c r="E411" t="s">
        <v>142</v>
      </c>
      <c r="F411" t="s">
        <v>494</v>
      </c>
      <c r="G411" t="s">
        <v>3</v>
      </c>
      <c r="H411" t="s">
        <v>136</v>
      </c>
      <c r="I411" t="s">
        <v>170</v>
      </c>
      <c r="J411" t="s">
        <v>6</v>
      </c>
      <c r="K411" t="s">
        <v>1</v>
      </c>
      <c r="L411" t="s">
        <v>3</v>
      </c>
      <c r="N411" t="s">
        <v>585</v>
      </c>
    </row>
    <row r="412" spans="1:14" x14ac:dyDescent="0.2">
      <c r="A412">
        <v>410</v>
      </c>
      <c r="B412" t="s">
        <v>495</v>
      </c>
      <c r="C412" t="s">
        <v>142</v>
      </c>
      <c r="D412" t="s">
        <v>142</v>
      </c>
      <c r="E412" t="s">
        <v>142</v>
      </c>
      <c r="F412" t="s">
        <v>32</v>
      </c>
      <c r="G412" t="s">
        <v>3</v>
      </c>
      <c r="H412" t="s">
        <v>136</v>
      </c>
      <c r="I412" t="s">
        <v>170</v>
      </c>
      <c r="J412" t="s">
        <v>6</v>
      </c>
      <c r="K412" t="s">
        <v>1</v>
      </c>
      <c r="L412" t="s">
        <v>3</v>
      </c>
      <c r="N412" t="s">
        <v>585</v>
      </c>
    </row>
    <row r="413" spans="1:14" x14ac:dyDescent="0.2">
      <c r="A413">
        <v>411</v>
      </c>
      <c r="B413" t="s">
        <v>496</v>
      </c>
      <c r="C413" t="s">
        <v>142</v>
      </c>
      <c r="D413" t="s">
        <v>142</v>
      </c>
      <c r="E413" t="s">
        <v>142</v>
      </c>
      <c r="F413" t="s">
        <v>497</v>
      </c>
      <c r="G413">
        <v>1</v>
      </c>
      <c r="H413" t="s">
        <v>136</v>
      </c>
      <c r="I413" t="s">
        <v>170</v>
      </c>
      <c r="J413" t="s">
        <v>19</v>
      </c>
      <c r="K413" t="s">
        <v>1</v>
      </c>
      <c r="L413" t="s">
        <v>145</v>
      </c>
      <c r="N413" t="s">
        <v>585</v>
      </c>
    </row>
    <row r="414" spans="1:14" x14ac:dyDescent="0.2">
      <c r="A414">
        <v>412</v>
      </c>
      <c r="B414" t="s">
        <v>498</v>
      </c>
      <c r="C414" t="s">
        <v>142</v>
      </c>
      <c r="D414" t="s">
        <v>142</v>
      </c>
      <c r="E414" t="s">
        <v>142</v>
      </c>
      <c r="F414" t="s">
        <v>32</v>
      </c>
      <c r="G414" t="s">
        <v>3</v>
      </c>
      <c r="H414" t="s">
        <v>136</v>
      </c>
      <c r="I414" t="s">
        <v>170</v>
      </c>
      <c r="J414" t="s">
        <v>6</v>
      </c>
      <c r="K414" t="s">
        <v>1</v>
      </c>
      <c r="L414" t="s">
        <v>3</v>
      </c>
      <c r="N414" t="s">
        <v>585</v>
      </c>
    </row>
    <row r="415" spans="1:14" x14ac:dyDescent="0.2">
      <c r="A415">
        <v>414</v>
      </c>
      <c r="B415" t="s">
        <v>499</v>
      </c>
      <c r="C415" t="s">
        <v>142</v>
      </c>
      <c r="D415" t="s">
        <v>142</v>
      </c>
      <c r="E415" t="s">
        <v>142</v>
      </c>
      <c r="F415" t="s">
        <v>500</v>
      </c>
      <c r="G415">
        <v>1</v>
      </c>
      <c r="H415" t="s">
        <v>136</v>
      </c>
      <c r="I415" t="s">
        <v>170</v>
      </c>
      <c r="J415" t="s">
        <v>19</v>
      </c>
      <c r="K415" t="s">
        <v>1</v>
      </c>
      <c r="L415" t="s">
        <v>145</v>
      </c>
      <c r="N415" t="s">
        <v>585</v>
      </c>
    </row>
    <row r="416" spans="1:14" x14ac:dyDescent="0.2">
      <c r="A416">
        <v>413</v>
      </c>
      <c r="B416" t="s">
        <v>501</v>
      </c>
      <c r="C416" t="s">
        <v>142</v>
      </c>
      <c r="D416" t="s">
        <v>142</v>
      </c>
      <c r="E416" t="s">
        <v>142</v>
      </c>
      <c r="F416" t="s">
        <v>32</v>
      </c>
      <c r="G416" t="s">
        <v>3</v>
      </c>
      <c r="H416" t="s">
        <v>136</v>
      </c>
      <c r="I416" t="s">
        <v>170</v>
      </c>
      <c r="J416" t="s">
        <v>19</v>
      </c>
      <c r="K416" t="s">
        <v>1</v>
      </c>
      <c r="L416" t="s">
        <v>145</v>
      </c>
      <c r="N416" t="s">
        <v>585</v>
      </c>
    </row>
    <row r="417" spans="1:18" x14ac:dyDescent="0.2">
      <c r="A417">
        <v>415</v>
      </c>
      <c r="B417" t="s">
        <v>502</v>
      </c>
      <c r="C417" t="s">
        <v>15</v>
      </c>
      <c r="D417" t="s">
        <v>15</v>
      </c>
      <c r="E417" t="s">
        <v>15</v>
      </c>
      <c r="F417" t="s">
        <v>503</v>
      </c>
      <c r="G417" t="s">
        <v>3</v>
      </c>
      <c r="H417" t="s">
        <v>4</v>
      </c>
      <c r="I417" t="s">
        <v>170</v>
      </c>
      <c r="J417" t="s">
        <v>19</v>
      </c>
      <c r="K417" t="s">
        <v>171</v>
      </c>
      <c r="L417" t="s">
        <v>206</v>
      </c>
      <c r="N417" t="s">
        <v>586</v>
      </c>
      <c r="O417" t="s">
        <v>590</v>
      </c>
      <c r="P417" t="s">
        <v>601</v>
      </c>
    </row>
    <row r="418" spans="1:18" x14ac:dyDescent="0.2">
      <c r="A418">
        <v>416</v>
      </c>
      <c r="B418" t="s">
        <v>504</v>
      </c>
      <c r="C418" t="s">
        <v>8</v>
      </c>
      <c r="D418" t="s">
        <v>8</v>
      </c>
      <c r="E418" t="s">
        <v>8</v>
      </c>
      <c r="F418" t="s">
        <v>1</v>
      </c>
      <c r="G418" t="s">
        <v>3</v>
      </c>
      <c r="H418" t="s">
        <v>4</v>
      </c>
      <c r="I418" t="s">
        <v>170</v>
      </c>
      <c r="J418" t="s">
        <v>6</v>
      </c>
      <c r="K418" t="s">
        <v>1</v>
      </c>
      <c r="L418" t="s">
        <v>3</v>
      </c>
      <c r="N418" s="5"/>
      <c r="O418" s="5"/>
      <c r="P418" s="5"/>
      <c r="Q418" s="5"/>
      <c r="R418" s="5"/>
    </row>
    <row r="419" spans="1:18" x14ac:dyDescent="0.2">
      <c r="A419">
        <v>417</v>
      </c>
      <c r="B419" t="s">
        <v>505</v>
      </c>
      <c r="C419" t="s">
        <v>71</v>
      </c>
      <c r="D419" t="s">
        <v>72</v>
      </c>
      <c r="E419" t="s">
        <v>73</v>
      </c>
      <c r="F419" t="s">
        <v>40</v>
      </c>
      <c r="G419" t="s">
        <v>3</v>
      </c>
      <c r="H419" t="s">
        <v>136</v>
      </c>
      <c r="I419" t="s">
        <v>11</v>
      </c>
      <c r="J419" t="s">
        <v>19</v>
      </c>
      <c r="K419" t="s">
        <v>12</v>
      </c>
      <c r="L419" t="s">
        <v>13</v>
      </c>
    </row>
    <row r="420" spans="1:18" x14ac:dyDescent="0.2">
      <c r="A420">
        <v>418</v>
      </c>
      <c r="B420" t="s">
        <v>506</v>
      </c>
      <c r="C420" t="s">
        <v>71</v>
      </c>
      <c r="D420" t="s">
        <v>72</v>
      </c>
      <c r="E420" t="s">
        <v>73</v>
      </c>
      <c r="F420" t="s">
        <v>18</v>
      </c>
      <c r="G420" t="s">
        <v>3</v>
      </c>
      <c r="H420" t="s">
        <v>136</v>
      </c>
      <c r="I420" t="s">
        <v>11</v>
      </c>
      <c r="J420" t="s">
        <v>19</v>
      </c>
      <c r="K420" t="s">
        <v>12</v>
      </c>
      <c r="L420" t="s">
        <v>13</v>
      </c>
    </row>
    <row r="421" spans="1:18" x14ac:dyDescent="0.2">
      <c r="A421">
        <v>419</v>
      </c>
      <c r="B421" t="s">
        <v>507</v>
      </c>
      <c r="C421" t="s">
        <v>16</v>
      </c>
      <c r="D421" t="s">
        <v>508</v>
      </c>
      <c r="E421" t="s">
        <v>508</v>
      </c>
      <c r="F421" t="s">
        <v>18</v>
      </c>
      <c r="G421" t="s">
        <v>3</v>
      </c>
      <c r="H421" t="s">
        <v>4</v>
      </c>
      <c r="I421" t="s">
        <v>11</v>
      </c>
      <c r="J421" t="s">
        <v>19</v>
      </c>
      <c r="K421" t="s">
        <v>12</v>
      </c>
      <c r="L421" t="s">
        <v>13</v>
      </c>
    </row>
    <row r="422" spans="1:18" x14ac:dyDescent="0.2">
      <c r="A422">
        <v>420</v>
      </c>
      <c r="B422" t="s">
        <v>509</v>
      </c>
      <c r="C422" t="s">
        <v>64</v>
      </c>
      <c r="D422" t="s">
        <v>65</v>
      </c>
      <c r="E422" t="s">
        <v>66</v>
      </c>
      <c r="F422" t="s">
        <v>40</v>
      </c>
      <c r="G422" t="s">
        <v>3</v>
      </c>
      <c r="H422" t="s">
        <v>4</v>
      </c>
      <c r="I422" t="s">
        <v>11</v>
      </c>
      <c r="J422" t="s">
        <v>19</v>
      </c>
      <c r="K422" t="s">
        <v>12</v>
      </c>
      <c r="L422" t="s">
        <v>13</v>
      </c>
    </row>
    <row r="423" spans="1:18" x14ac:dyDescent="0.2">
      <c r="A423">
        <v>423</v>
      </c>
      <c r="B423" t="s">
        <v>510</v>
      </c>
      <c r="C423" t="s">
        <v>8</v>
      </c>
      <c r="D423" t="s">
        <v>9</v>
      </c>
      <c r="E423" t="s">
        <v>9</v>
      </c>
      <c r="F423" t="s">
        <v>3</v>
      </c>
      <c r="G423" t="s">
        <v>3</v>
      </c>
      <c r="H423" t="s">
        <v>4</v>
      </c>
      <c r="I423" t="s">
        <v>11</v>
      </c>
      <c r="J423" t="s">
        <v>6</v>
      </c>
      <c r="K423" t="s">
        <v>12</v>
      </c>
      <c r="L423" t="s">
        <v>3</v>
      </c>
    </row>
    <row r="424" spans="1:18" x14ac:dyDescent="0.2">
      <c r="A424">
        <v>421</v>
      </c>
      <c r="B424" t="s">
        <v>511</v>
      </c>
      <c r="C424" t="s">
        <v>107</v>
      </c>
      <c r="D424" t="s">
        <v>108</v>
      </c>
      <c r="E424" t="s">
        <v>109</v>
      </c>
      <c r="F424" t="s">
        <v>40</v>
      </c>
      <c r="G424" t="s">
        <v>3</v>
      </c>
      <c r="H424" t="s">
        <v>136</v>
      </c>
      <c r="I424" t="s">
        <v>11</v>
      </c>
      <c r="J424" t="s">
        <v>19</v>
      </c>
      <c r="K424" t="s">
        <v>12</v>
      </c>
      <c r="L424" t="s">
        <v>13</v>
      </c>
    </row>
    <row r="425" spans="1:18" x14ac:dyDescent="0.2">
      <c r="A425">
        <v>422</v>
      </c>
      <c r="B425" t="s">
        <v>512</v>
      </c>
      <c r="C425" t="s">
        <v>107</v>
      </c>
      <c r="D425" t="s">
        <v>108</v>
      </c>
      <c r="E425" t="s">
        <v>109</v>
      </c>
      <c r="F425" t="s">
        <v>18</v>
      </c>
      <c r="G425" t="s">
        <v>3</v>
      </c>
      <c r="H425" t="s">
        <v>136</v>
      </c>
      <c r="I425" t="s">
        <v>11</v>
      </c>
      <c r="J425" t="s">
        <v>19</v>
      </c>
      <c r="K425" t="s">
        <v>12</v>
      </c>
      <c r="L425" t="s">
        <v>13</v>
      </c>
    </row>
    <row r="426" spans="1:18" x14ac:dyDescent="0.2">
      <c r="A426">
        <v>424</v>
      </c>
      <c r="B426" t="s">
        <v>513</v>
      </c>
      <c r="C426" t="s">
        <v>8</v>
      </c>
      <c r="D426" t="s">
        <v>9</v>
      </c>
      <c r="E426" t="s">
        <v>9</v>
      </c>
      <c r="F426" t="s">
        <v>32</v>
      </c>
      <c r="G426" t="s">
        <v>3</v>
      </c>
      <c r="H426" t="s">
        <v>139</v>
      </c>
      <c r="I426" t="s">
        <v>11</v>
      </c>
      <c r="J426" t="s">
        <v>6</v>
      </c>
      <c r="K426" t="s">
        <v>1</v>
      </c>
      <c r="L426" t="s">
        <v>3</v>
      </c>
    </row>
    <row r="427" spans="1:18" x14ac:dyDescent="0.2">
      <c r="A427">
        <v>425</v>
      </c>
      <c r="B427" t="s">
        <v>514</v>
      </c>
      <c r="C427" t="s">
        <v>37</v>
      </c>
      <c r="D427" t="s">
        <v>38</v>
      </c>
      <c r="E427" t="s">
        <v>39</v>
      </c>
      <c r="F427" t="s">
        <v>40</v>
      </c>
      <c r="G427" t="s">
        <v>3</v>
      </c>
      <c r="H427" t="s">
        <v>136</v>
      </c>
      <c r="I427" t="s">
        <v>11</v>
      </c>
      <c r="J427" t="s">
        <v>19</v>
      </c>
      <c r="K427" t="s">
        <v>12</v>
      </c>
      <c r="L427" t="s">
        <v>13</v>
      </c>
    </row>
    <row r="428" spans="1:18" x14ac:dyDescent="0.2">
      <c r="A428">
        <v>426</v>
      </c>
      <c r="B428" t="s">
        <v>515</v>
      </c>
      <c r="C428" t="s">
        <v>37</v>
      </c>
      <c r="D428" t="s">
        <v>38</v>
      </c>
      <c r="E428" t="s">
        <v>39</v>
      </c>
      <c r="F428" t="s">
        <v>18</v>
      </c>
      <c r="G428" t="s">
        <v>3</v>
      </c>
      <c r="H428" t="s">
        <v>4</v>
      </c>
      <c r="I428" t="s">
        <v>11</v>
      </c>
      <c r="J428" t="s">
        <v>19</v>
      </c>
      <c r="K428" t="s">
        <v>12</v>
      </c>
      <c r="L428" t="s">
        <v>13</v>
      </c>
    </row>
    <row r="429" spans="1:18" x14ac:dyDescent="0.2">
      <c r="A429">
        <v>427</v>
      </c>
      <c r="B429" t="s">
        <v>516</v>
      </c>
      <c r="C429" t="s">
        <v>27</v>
      </c>
      <c r="D429" t="s">
        <v>28</v>
      </c>
      <c r="E429" t="s">
        <v>29</v>
      </c>
      <c r="F429" t="s">
        <v>40</v>
      </c>
      <c r="G429" t="s">
        <v>3</v>
      </c>
      <c r="H429" t="s">
        <v>136</v>
      </c>
      <c r="I429" t="s">
        <v>11</v>
      </c>
      <c r="J429" t="s">
        <v>19</v>
      </c>
      <c r="K429" t="s">
        <v>12</v>
      </c>
      <c r="L429" t="s">
        <v>13</v>
      </c>
    </row>
    <row r="430" spans="1:18" x14ac:dyDescent="0.2">
      <c r="A430">
        <v>428</v>
      </c>
      <c r="B430" t="s">
        <v>517</v>
      </c>
      <c r="C430" t="s">
        <v>8</v>
      </c>
      <c r="D430" t="s">
        <v>9</v>
      </c>
      <c r="E430" t="s">
        <v>9</v>
      </c>
      <c r="F430" t="s">
        <v>1</v>
      </c>
      <c r="G430" t="s">
        <v>3</v>
      </c>
      <c r="H430" t="s">
        <v>136</v>
      </c>
      <c r="I430" t="s">
        <v>11</v>
      </c>
      <c r="J430" t="s">
        <v>6</v>
      </c>
      <c r="K430" t="s">
        <v>1</v>
      </c>
      <c r="L430" t="s">
        <v>3</v>
      </c>
    </row>
    <row r="431" spans="1:18" x14ac:dyDescent="0.2">
      <c r="A431">
        <v>429</v>
      </c>
      <c r="B431" t="s">
        <v>518</v>
      </c>
      <c r="C431" t="s">
        <v>8</v>
      </c>
      <c r="D431" t="s">
        <v>9</v>
      </c>
      <c r="E431" t="s">
        <v>9</v>
      </c>
      <c r="F431" t="s">
        <v>10</v>
      </c>
      <c r="G431" t="s">
        <v>3</v>
      </c>
      <c r="H431" t="s">
        <v>4</v>
      </c>
      <c r="I431" t="s">
        <v>11</v>
      </c>
      <c r="J431" t="s">
        <v>6</v>
      </c>
      <c r="K431" t="s">
        <v>12</v>
      </c>
      <c r="L431" t="s">
        <v>13</v>
      </c>
    </row>
    <row r="432" spans="1:18" x14ac:dyDescent="0.2">
      <c r="A432">
        <v>430</v>
      </c>
      <c r="B432" t="s">
        <v>518</v>
      </c>
      <c r="C432" t="s">
        <v>8</v>
      </c>
      <c r="D432" t="s">
        <v>9</v>
      </c>
      <c r="E432" t="s">
        <v>9</v>
      </c>
      <c r="F432" t="s">
        <v>10</v>
      </c>
      <c r="G432" t="s">
        <v>3</v>
      </c>
      <c r="H432" t="s">
        <v>136</v>
      </c>
      <c r="I432" t="s">
        <v>11</v>
      </c>
      <c r="J432" t="s">
        <v>6</v>
      </c>
      <c r="K432" t="s">
        <v>12</v>
      </c>
      <c r="L432" t="s">
        <v>13</v>
      </c>
    </row>
    <row r="433" spans="1:12" x14ac:dyDescent="0.2">
      <c r="A433">
        <v>431</v>
      </c>
      <c r="B433" t="s">
        <v>519</v>
      </c>
      <c r="C433" t="s">
        <v>8</v>
      </c>
      <c r="D433" t="s">
        <v>9</v>
      </c>
      <c r="E433" t="s">
        <v>9</v>
      </c>
      <c r="F433" t="s">
        <v>520</v>
      </c>
      <c r="G433" t="s">
        <v>3</v>
      </c>
      <c r="H433" t="s">
        <v>136</v>
      </c>
      <c r="I433" t="s">
        <v>11</v>
      </c>
      <c r="J433" t="s">
        <v>6</v>
      </c>
      <c r="K433" t="s">
        <v>1</v>
      </c>
      <c r="L433" t="s">
        <v>3</v>
      </c>
    </row>
    <row r="434" spans="1:12" x14ac:dyDescent="0.2">
      <c r="A434">
        <v>432</v>
      </c>
      <c r="B434" t="s">
        <v>521</v>
      </c>
      <c r="C434" t="s">
        <v>8</v>
      </c>
      <c r="D434" t="s">
        <v>9</v>
      </c>
      <c r="E434" t="s">
        <v>9</v>
      </c>
      <c r="F434" t="s">
        <v>520</v>
      </c>
      <c r="G434" t="s">
        <v>3</v>
      </c>
      <c r="H434" t="s">
        <v>136</v>
      </c>
      <c r="I434" t="s">
        <v>11</v>
      </c>
      <c r="J434" t="s">
        <v>6</v>
      </c>
      <c r="K434" t="s">
        <v>1</v>
      </c>
      <c r="L434" t="s">
        <v>3</v>
      </c>
    </row>
    <row r="435" spans="1:12" x14ac:dyDescent="0.2">
      <c r="A435">
        <v>433</v>
      </c>
      <c r="B435" t="s">
        <v>522</v>
      </c>
      <c r="C435" t="s">
        <v>127</v>
      </c>
      <c r="D435" t="s">
        <v>523</v>
      </c>
      <c r="E435" t="s">
        <v>524</v>
      </c>
      <c r="F435" t="s">
        <v>127</v>
      </c>
      <c r="G435" t="s">
        <v>3</v>
      </c>
      <c r="H435" t="s">
        <v>4</v>
      </c>
      <c r="I435" t="s">
        <v>11</v>
      </c>
      <c r="J435" t="s">
        <v>19</v>
      </c>
      <c r="K435" t="s">
        <v>12</v>
      </c>
      <c r="L435" t="s">
        <v>13</v>
      </c>
    </row>
    <row r="436" spans="1:12" x14ac:dyDescent="0.2">
      <c r="A436">
        <v>434</v>
      </c>
      <c r="B436" t="s">
        <v>522</v>
      </c>
      <c r="C436" t="s">
        <v>127</v>
      </c>
      <c r="D436" t="s">
        <v>523</v>
      </c>
      <c r="E436" t="s">
        <v>524</v>
      </c>
      <c r="F436" t="s">
        <v>127</v>
      </c>
      <c r="G436" t="s">
        <v>3</v>
      </c>
      <c r="H436" t="s">
        <v>136</v>
      </c>
      <c r="I436" t="s">
        <v>11</v>
      </c>
      <c r="J436" t="s">
        <v>19</v>
      </c>
      <c r="K436" t="s">
        <v>12</v>
      </c>
      <c r="L436" t="s">
        <v>13</v>
      </c>
    </row>
    <row r="437" spans="1:12" x14ac:dyDescent="0.2">
      <c r="A437">
        <v>435</v>
      </c>
      <c r="B437" t="s">
        <v>525</v>
      </c>
      <c r="C437" t="s">
        <v>64</v>
      </c>
      <c r="D437" t="s">
        <v>65</v>
      </c>
      <c r="E437" t="s">
        <v>66</v>
      </c>
      <c r="F437" t="s">
        <v>40</v>
      </c>
      <c r="G437" t="s">
        <v>3</v>
      </c>
      <c r="H437" t="s">
        <v>4</v>
      </c>
      <c r="I437" t="s">
        <v>11</v>
      </c>
      <c r="J437" t="s">
        <v>19</v>
      </c>
      <c r="K437" t="s">
        <v>12</v>
      </c>
      <c r="L437" t="s">
        <v>13</v>
      </c>
    </row>
    <row r="438" spans="1:12" x14ac:dyDescent="0.2">
      <c r="A438">
        <v>436</v>
      </c>
      <c r="B438" t="s">
        <v>526</v>
      </c>
      <c r="C438" t="s">
        <v>8</v>
      </c>
      <c r="D438" t="s">
        <v>9</v>
      </c>
      <c r="E438" t="s">
        <v>9</v>
      </c>
      <c r="F438" t="s">
        <v>1</v>
      </c>
      <c r="G438" t="s">
        <v>3</v>
      </c>
      <c r="H438" t="s">
        <v>136</v>
      </c>
      <c r="I438" t="s">
        <v>11</v>
      </c>
      <c r="J438" t="s">
        <v>6</v>
      </c>
      <c r="K438" t="s">
        <v>1</v>
      </c>
      <c r="L438" t="s">
        <v>3</v>
      </c>
    </row>
    <row r="439" spans="1:12" x14ac:dyDescent="0.2">
      <c r="A439">
        <v>437</v>
      </c>
      <c r="B439" t="s">
        <v>527</v>
      </c>
      <c r="C439" t="s">
        <v>8</v>
      </c>
      <c r="D439" t="s">
        <v>9</v>
      </c>
      <c r="E439" t="s">
        <v>9</v>
      </c>
      <c r="F439" t="s">
        <v>119</v>
      </c>
      <c r="G439" t="s">
        <v>3</v>
      </c>
      <c r="H439" t="s">
        <v>136</v>
      </c>
      <c r="I439" t="s">
        <v>11</v>
      </c>
      <c r="J439" t="s">
        <v>6</v>
      </c>
      <c r="K439" t="s">
        <v>12</v>
      </c>
      <c r="L439" t="s">
        <v>13</v>
      </c>
    </row>
    <row r="440" spans="1:12" x14ac:dyDescent="0.2">
      <c r="A440">
        <v>438</v>
      </c>
      <c r="B440" t="s">
        <v>528</v>
      </c>
      <c r="C440" t="s">
        <v>8</v>
      </c>
      <c r="D440" t="s">
        <v>9</v>
      </c>
      <c r="E440" t="s">
        <v>9</v>
      </c>
      <c r="F440" t="s">
        <v>119</v>
      </c>
      <c r="G440" t="s">
        <v>3</v>
      </c>
      <c r="H440" t="s">
        <v>4</v>
      </c>
      <c r="I440" t="s">
        <v>11</v>
      </c>
      <c r="J440" t="s">
        <v>6</v>
      </c>
      <c r="K440" t="s">
        <v>12</v>
      </c>
      <c r="L440" t="s">
        <v>13</v>
      </c>
    </row>
    <row r="441" spans="1:12" x14ac:dyDescent="0.2">
      <c r="A441">
        <v>441</v>
      </c>
      <c r="B441" t="s">
        <v>529</v>
      </c>
      <c r="C441" t="s">
        <v>54</v>
      </c>
      <c r="D441" t="s">
        <v>55</v>
      </c>
      <c r="E441" t="s">
        <v>56</v>
      </c>
      <c r="F441" t="s">
        <v>530</v>
      </c>
      <c r="G441" t="s">
        <v>3</v>
      </c>
      <c r="H441" t="s">
        <v>4</v>
      </c>
      <c r="I441" t="s">
        <v>11</v>
      </c>
      <c r="J441" t="s">
        <v>19</v>
      </c>
      <c r="K441" t="s">
        <v>1</v>
      </c>
      <c r="L441" t="s">
        <v>13</v>
      </c>
    </row>
    <row r="442" spans="1:12" x14ac:dyDescent="0.2">
      <c r="A442">
        <v>442</v>
      </c>
      <c r="B442" t="s">
        <v>531</v>
      </c>
      <c r="C442" t="s">
        <v>54</v>
      </c>
      <c r="D442" t="s">
        <v>55</v>
      </c>
      <c r="E442" t="s">
        <v>56</v>
      </c>
      <c r="F442" t="s">
        <v>532</v>
      </c>
      <c r="G442" t="s">
        <v>3</v>
      </c>
      <c r="H442" t="s">
        <v>4</v>
      </c>
      <c r="I442" t="s">
        <v>11</v>
      </c>
      <c r="J442" t="s">
        <v>19</v>
      </c>
      <c r="K442" t="s">
        <v>1</v>
      </c>
      <c r="L442" t="s">
        <v>13</v>
      </c>
    </row>
    <row r="443" spans="1:12" x14ac:dyDescent="0.2">
      <c r="A443">
        <v>439</v>
      </c>
      <c r="B443" t="s">
        <v>533</v>
      </c>
      <c r="C443" t="s">
        <v>59</v>
      </c>
      <c r="D443" t="s">
        <v>60</v>
      </c>
      <c r="E443" t="s">
        <v>61</v>
      </c>
      <c r="F443" t="s">
        <v>40</v>
      </c>
      <c r="G443" t="s">
        <v>3</v>
      </c>
      <c r="H443" t="s">
        <v>136</v>
      </c>
      <c r="I443" t="s">
        <v>11</v>
      </c>
      <c r="J443" t="s">
        <v>19</v>
      </c>
      <c r="K443" t="s">
        <v>12</v>
      </c>
      <c r="L443" t="s">
        <v>13</v>
      </c>
    </row>
    <row r="444" spans="1:12" x14ac:dyDescent="0.2">
      <c r="A444">
        <v>440</v>
      </c>
      <c r="B444" t="s">
        <v>534</v>
      </c>
      <c r="C444" t="s">
        <v>59</v>
      </c>
      <c r="D444" t="s">
        <v>60</v>
      </c>
      <c r="E444" t="s">
        <v>61</v>
      </c>
      <c r="F444" t="s">
        <v>18</v>
      </c>
      <c r="G444" t="s">
        <v>3</v>
      </c>
      <c r="H444" t="s">
        <v>136</v>
      </c>
      <c r="I444" t="s">
        <v>11</v>
      </c>
      <c r="J444" t="s">
        <v>19</v>
      </c>
      <c r="K444" t="s">
        <v>12</v>
      </c>
      <c r="L444" t="s">
        <v>13</v>
      </c>
    </row>
    <row r="445" spans="1:12" x14ac:dyDescent="0.2">
      <c r="A445">
        <v>443</v>
      </c>
      <c r="B445" t="s">
        <v>535</v>
      </c>
      <c r="C445" t="s">
        <v>27</v>
      </c>
      <c r="D445" t="s">
        <v>28</v>
      </c>
      <c r="E445" t="s">
        <v>29</v>
      </c>
      <c r="F445" t="s">
        <v>40</v>
      </c>
      <c r="G445" t="s">
        <v>3</v>
      </c>
      <c r="H445" t="s">
        <v>4</v>
      </c>
      <c r="I445" t="s">
        <v>11</v>
      </c>
      <c r="J445" t="s">
        <v>19</v>
      </c>
      <c r="K445" t="s">
        <v>12</v>
      </c>
      <c r="L445" t="s">
        <v>13</v>
      </c>
    </row>
    <row r="446" spans="1:12" x14ac:dyDescent="0.2">
      <c r="A446">
        <v>444</v>
      </c>
      <c r="B446" t="s">
        <v>535</v>
      </c>
      <c r="C446" t="s">
        <v>27</v>
      </c>
      <c r="D446" t="s">
        <v>28</v>
      </c>
      <c r="E446" t="s">
        <v>29</v>
      </c>
      <c r="F446" t="s">
        <v>40</v>
      </c>
      <c r="G446" t="s">
        <v>3</v>
      </c>
      <c r="H446" t="s">
        <v>136</v>
      </c>
      <c r="I446" t="s">
        <v>11</v>
      </c>
      <c r="J446" t="s">
        <v>19</v>
      </c>
      <c r="K446" t="s">
        <v>12</v>
      </c>
      <c r="L446" t="s">
        <v>13</v>
      </c>
    </row>
    <row r="447" spans="1:12" x14ac:dyDescent="0.2">
      <c r="A447">
        <v>445</v>
      </c>
      <c r="B447" t="s">
        <v>536</v>
      </c>
      <c r="C447" t="s">
        <v>8</v>
      </c>
      <c r="D447" t="s">
        <v>9</v>
      </c>
      <c r="E447" t="s">
        <v>9</v>
      </c>
      <c r="F447" t="s">
        <v>1</v>
      </c>
      <c r="G447" t="s">
        <v>3</v>
      </c>
      <c r="H447" t="s">
        <v>4</v>
      </c>
      <c r="I447" t="s">
        <v>11</v>
      </c>
      <c r="J447" t="s">
        <v>6</v>
      </c>
      <c r="K447" t="s">
        <v>1</v>
      </c>
      <c r="L447" t="s">
        <v>3</v>
      </c>
    </row>
    <row r="448" spans="1:12" x14ac:dyDescent="0.2">
      <c r="A448">
        <v>446</v>
      </c>
      <c r="B448" t="s">
        <v>537</v>
      </c>
      <c r="C448" t="s">
        <v>8</v>
      </c>
      <c r="D448" t="s">
        <v>9</v>
      </c>
      <c r="E448" t="s">
        <v>9</v>
      </c>
      <c r="F448" t="s">
        <v>1</v>
      </c>
      <c r="G448" t="s">
        <v>3</v>
      </c>
      <c r="H448" t="s">
        <v>4</v>
      </c>
      <c r="I448" t="s">
        <v>11</v>
      </c>
      <c r="J448" t="s">
        <v>6</v>
      </c>
      <c r="K448" t="s">
        <v>1</v>
      </c>
      <c r="L448" t="s">
        <v>3</v>
      </c>
    </row>
    <row r="449" spans="1:12" x14ac:dyDescent="0.2">
      <c r="A449">
        <v>447</v>
      </c>
      <c r="B449" t="s">
        <v>538</v>
      </c>
      <c r="C449" t="s">
        <v>8</v>
      </c>
      <c r="D449" t="s">
        <v>9</v>
      </c>
      <c r="E449" t="s">
        <v>9</v>
      </c>
      <c r="F449" t="s">
        <v>1</v>
      </c>
      <c r="G449" t="s">
        <v>3</v>
      </c>
      <c r="H449" t="s">
        <v>139</v>
      </c>
      <c r="I449" t="s">
        <v>11</v>
      </c>
      <c r="J449" t="s">
        <v>6</v>
      </c>
      <c r="K449" t="s">
        <v>1</v>
      </c>
      <c r="L449" t="s">
        <v>3</v>
      </c>
    </row>
    <row r="450" spans="1:12" x14ac:dyDescent="0.2">
      <c r="A450">
        <v>448</v>
      </c>
      <c r="B450" t="s">
        <v>538</v>
      </c>
      <c r="C450" t="s">
        <v>8</v>
      </c>
      <c r="D450" t="s">
        <v>9</v>
      </c>
      <c r="E450" t="s">
        <v>9</v>
      </c>
      <c r="F450" t="s">
        <v>1</v>
      </c>
      <c r="G450" t="s">
        <v>3</v>
      </c>
      <c r="H450" t="s">
        <v>136</v>
      </c>
      <c r="I450" t="s">
        <v>11</v>
      </c>
      <c r="J450" t="s">
        <v>6</v>
      </c>
      <c r="K450" t="s">
        <v>1</v>
      </c>
      <c r="L450" t="s">
        <v>3</v>
      </c>
    </row>
    <row r="451" spans="1:12" x14ac:dyDescent="0.2">
      <c r="A451">
        <v>449</v>
      </c>
      <c r="B451" t="s">
        <v>539</v>
      </c>
      <c r="C451" t="s">
        <v>8</v>
      </c>
      <c r="D451" t="s">
        <v>9</v>
      </c>
      <c r="E451" t="s">
        <v>9</v>
      </c>
      <c r="F451" t="s">
        <v>1</v>
      </c>
      <c r="G451" t="s">
        <v>3</v>
      </c>
      <c r="H451" t="s">
        <v>139</v>
      </c>
      <c r="I451" t="s">
        <v>11</v>
      </c>
      <c r="J451" t="s">
        <v>6</v>
      </c>
      <c r="K451" t="s">
        <v>1</v>
      </c>
      <c r="L451" t="s">
        <v>3</v>
      </c>
    </row>
    <row r="452" spans="1:12" x14ac:dyDescent="0.2">
      <c r="A452">
        <v>450</v>
      </c>
      <c r="B452" t="s">
        <v>540</v>
      </c>
      <c r="C452" t="s">
        <v>127</v>
      </c>
      <c r="D452" t="s">
        <v>127</v>
      </c>
      <c r="E452" t="s">
        <v>127</v>
      </c>
      <c r="F452" t="s">
        <v>127</v>
      </c>
      <c r="G452" t="s">
        <v>3</v>
      </c>
      <c r="H452" t="s">
        <v>541</v>
      </c>
      <c r="I452" t="s">
        <v>11</v>
      </c>
      <c r="J452" t="s">
        <v>127</v>
      </c>
      <c r="K452" t="s">
        <v>12</v>
      </c>
      <c r="L452" t="s">
        <v>3</v>
      </c>
    </row>
    <row r="453" spans="1:12" x14ac:dyDescent="0.2">
      <c r="A453">
        <v>451</v>
      </c>
      <c r="B453" t="s">
        <v>542</v>
      </c>
      <c r="C453" t="s">
        <v>127</v>
      </c>
      <c r="D453" t="s">
        <v>127</v>
      </c>
      <c r="E453" t="s">
        <v>127</v>
      </c>
      <c r="F453" t="s">
        <v>127</v>
      </c>
      <c r="G453" t="s">
        <v>3</v>
      </c>
      <c r="H453" t="s">
        <v>4</v>
      </c>
      <c r="I453" t="s">
        <v>11</v>
      </c>
      <c r="J453" t="s">
        <v>127</v>
      </c>
      <c r="K453" t="s">
        <v>12</v>
      </c>
      <c r="L453" t="s">
        <v>3</v>
      </c>
    </row>
    <row r="454" spans="1:12" x14ac:dyDescent="0.2">
      <c r="A454">
        <v>452</v>
      </c>
      <c r="B454" t="s">
        <v>543</v>
      </c>
      <c r="C454" t="s">
        <v>127</v>
      </c>
      <c r="D454" t="s">
        <v>127</v>
      </c>
      <c r="E454" t="s">
        <v>127</v>
      </c>
      <c r="F454" t="s">
        <v>127</v>
      </c>
      <c r="G454" t="s">
        <v>3</v>
      </c>
      <c r="H454" t="s">
        <v>4</v>
      </c>
      <c r="I454" t="s">
        <v>11</v>
      </c>
      <c r="J454" t="s">
        <v>127</v>
      </c>
      <c r="K454" t="s">
        <v>12</v>
      </c>
      <c r="L454" t="s">
        <v>3</v>
      </c>
    </row>
    <row r="455" spans="1:12" x14ac:dyDescent="0.2">
      <c r="A455">
        <v>453</v>
      </c>
      <c r="B455" t="s">
        <v>544</v>
      </c>
      <c r="C455" t="s">
        <v>127</v>
      </c>
      <c r="D455" t="s">
        <v>127</v>
      </c>
      <c r="E455" t="s">
        <v>127</v>
      </c>
      <c r="F455" t="s">
        <v>127</v>
      </c>
      <c r="G455" t="s">
        <v>3</v>
      </c>
      <c r="H455" t="s">
        <v>136</v>
      </c>
      <c r="I455" t="s">
        <v>11</v>
      </c>
      <c r="J455" t="s">
        <v>127</v>
      </c>
      <c r="K455" t="s">
        <v>12</v>
      </c>
      <c r="L455" t="s">
        <v>3</v>
      </c>
    </row>
    <row r="456" spans="1:12" x14ac:dyDescent="0.2">
      <c r="A456">
        <v>454</v>
      </c>
      <c r="B456" t="s">
        <v>545</v>
      </c>
      <c r="C456" t="s">
        <v>127</v>
      </c>
      <c r="D456" t="s">
        <v>127</v>
      </c>
      <c r="E456" t="s">
        <v>127</v>
      </c>
      <c r="F456" t="s">
        <v>127</v>
      </c>
      <c r="G456" t="s">
        <v>3</v>
      </c>
      <c r="H456" t="s">
        <v>4</v>
      </c>
      <c r="I456" t="s">
        <v>11</v>
      </c>
      <c r="J456" t="s">
        <v>127</v>
      </c>
      <c r="K456" t="s">
        <v>12</v>
      </c>
      <c r="L456" t="s">
        <v>3</v>
      </c>
    </row>
    <row r="457" spans="1:12" x14ac:dyDescent="0.2">
      <c r="A457">
        <v>455</v>
      </c>
      <c r="B457" t="s">
        <v>546</v>
      </c>
      <c r="C457" t="s">
        <v>16</v>
      </c>
      <c r="D457" t="s">
        <v>508</v>
      </c>
      <c r="E457" t="s">
        <v>547</v>
      </c>
      <c r="F457" t="s">
        <v>18</v>
      </c>
      <c r="G457" t="s">
        <v>3</v>
      </c>
      <c r="H457" t="s">
        <v>4</v>
      </c>
      <c r="I457" t="s">
        <v>11</v>
      </c>
      <c r="J457" t="s">
        <v>19</v>
      </c>
      <c r="K457" t="s">
        <v>12</v>
      </c>
      <c r="L457" t="s">
        <v>13</v>
      </c>
    </row>
    <row r="458" spans="1:12" x14ac:dyDescent="0.2">
      <c r="A458">
        <v>456</v>
      </c>
      <c r="B458" t="s">
        <v>548</v>
      </c>
      <c r="C458" t="s">
        <v>8</v>
      </c>
      <c r="D458" t="s">
        <v>9</v>
      </c>
      <c r="E458" t="s">
        <v>9</v>
      </c>
      <c r="F458" t="s">
        <v>1</v>
      </c>
      <c r="G458" t="s">
        <v>3</v>
      </c>
      <c r="H458" t="s">
        <v>4</v>
      </c>
      <c r="I458" t="s">
        <v>11</v>
      </c>
      <c r="J458" t="s">
        <v>6</v>
      </c>
      <c r="K458" t="s">
        <v>1</v>
      </c>
      <c r="L458" t="s">
        <v>3</v>
      </c>
    </row>
    <row r="459" spans="1:12" x14ac:dyDescent="0.2">
      <c r="A459">
        <v>458</v>
      </c>
      <c r="B459" t="s">
        <v>549</v>
      </c>
      <c r="C459" t="s">
        <v>64</v>
      </c>
      <c r="D459" t="s">
        <v>65</v>
      </c>
      <c r="E459" t="s">
        <v>66</v>
      </c>
      <c r="F459" t="s">
        <v>18</v>
      </c>
      <c r="G459" t="s">
        <v>3</v>
      </c>
      <c r="H459" t="s">
        <v>4</v>
      </c>
      <c r="I459" t="s">
        <v>11</v>
      </c>
      <c r="J459" t="s">
        <v>19</v>
      </c>
      <c r="K459" t="s">
        <v>12</v>
      </c>
      <c r="L459" t="s">
        <v>13</v>
      </c>
    </row>
    <row r="460" spans="1:12" x14ac:dyDescent="0.2">
      <c r="A460">
        <v>457</v>
      </c>
      <c r="B460" t="s">
        <v>550</v>
      </c>
      <c r="C460" t="s">
        <v>79</v>
      </c>
      <c r="D460" t="s">
        <v>80</v>
      </c>
      <c r="E460" t="s">
        <v>81</v>
      </c>
      <c r="F460" t="s">
        <v>18</v>
      </c>
      <c r="G460" t="s">
        <v>3</v>
      </c>
      <c r="H460" t="s">
        <v>4</v>
      </c>
      <c r="I460" t="s">
        <v>11</v>
      </c>
      <c r="J460" t="s">
        <v>19</v>
      </c>
      <c r="K460" t="s">
        <v>12</v>
      </c>
      <c r="L460" t="s">
        <v>13</v>
      </c>
    </row>
    <row r="461" spans="1:12" x14ac:dyDescent="0.2">
      <c r="A461">
        <v>459</v>
      </c>
      <c r="B461" t="s">
        <v>551</v>
      </c>
      <c r="C461" t="s">
        <v>8</v>
      </c>
      <c r="D461" t="s">
        <v>9</v>
      </c>
      <c r="E461" t="s">
        <v>9</v>
      </c>
      <c r="F461" t="s">
        <v>1</v>
      </c>
      <c r="G461" t="s">
        <v>3</v>
      </c>
      <c r="H461" t="s">
        <v>136</v>
      </c>
      <c r="I461" t="s">
        <v>11</v>
      </c>
      <c r="J461" t="s">
        <v>6</v>
      </c>
      <c r="K461" t="s">
        <v>1</v>
      </c>
      <c r="L461" t="s">
        <v>3</v>
      </c>
    </row>
    <row r="462" spans="1:12" x14ac:dyDescent="0.2">
      <c r="A462">
        <v>460</v>
      </c>
      <c r="B462" t="s">
        <v>552</v>
      </c>
      <c r="C462" t="s">
        <v>8</v>
      </c>
      <c r="D462" t="s">
        <v>9</v>
      </c>
      <c r="E462" t="s">
        <v>9</v>
      </c>
      <c r="F462" t="s">
        <v>1</v>
      </c>
      <c r="G462" t="s">
        <v>3</v>
      </c>
      <c r="H462" t="s">
        <v>4</v>
      </c>
      <c r="I462" t="s">
        <v>11</v>
      </c>
      <c r="J462" t="s">
        <v>6</v>
      </c>
      <c r="K462" t="s">
        <v>1</v>
      </c>
      <c r="L462" t="s">
        <v>3</v>
      </c>
    </row>
    <row r="463" spans="1:12" x14ac:dyDescent="0.2">
      <c r="A463">
        <v>461</v>
      </c>
      <c r="B463" t="s">
        <v>553</v>
      </c>
      <c r="C463" t="s">
        <v>27</v>
      </c>
      <c r="D463" t="s">
        <v>28</v>
      </c>
      <c r="E463" t="s">
        <v>29</v>
      </c>
      <c r="F463" t="s">
        <v>40</v>
      </c>
      <c r="G463" t="s">
        <v>3</v>
      </c>
      <c r="H463" t="s">
        <v>4</v>
      </c>
      <c r="I463" t="s">
        <v>11</v>
      </c>
      <c r="J463" t="s">
        <v>19</v>
      </c>
      <c r="K463" t="s">
        <v>12</v>
      </c>
      <c r="L463" t="s">
        <v>13</v>
      </c>
    </row>
    <row r="464" spans="1:12" x14ac:dyDescent="0.2">
      <c r="A464">
        <v>462</v>
      </c>
      <c r="B464" t="s">
        <v>554</v>
      </c>
      <c r="C464" t="s">
        <v>8</v>
      </c>
      <c r="D464" t="s">
        <v>8</v>
      </c>
      <c r="E464" t="s">
        <v>3</v>
      </c>
      <c r="F464" t="s">
        <v>1</v>
      </c>
      <c r="G464" t="s">
        <v>3</v>
      </c>
      <c r="H464" t="s">
        <v>4</v>
      </c>
      <c r="I464" t="s">
        <v>555</v>
      </c>
      <c r="J464" t="s">
        <v>6</v>
      </c>
      <c r="K464" t="s">
        <v>1</v>
      </c>
      <c r="L464" t="s">
        <v>3</v>
      </c>
    </row>
    <row r="465" spans="1:12" x14ac:dyDescent="0.2">
      <c r="A465">
        <v>463</v>
      </c>
      <c r="B465" t="s">
        <v>556</v>
      </c>
      <c r="C465" t="s">
        <v>8</v>
      </c>
      <c r="D465" t="s">
        <v>8</v>
      </c>
      <c r="E465" t="s">
        <v>3</v>
      </c>
      <c r="F465" t="s">
        <v>1</v>
      </c>
      <c r="G465" t="s">
        <v>3</v>
      </c>
      <c r="H465" t="s">
        <v>4</v>
      </c>
      <c r="I465" t="s">
        <v>555</v>
      </c>
      <c r="J465" t="s">
        <v>6</v>
      </c>
      <c r="K465" t="s">
        <v>1</v>
      </c>
      <c r="L465" t="s">
        <v>3</v>
      </c>
    </row>
    <row r="466" spans="1:12" x14ac:dyDescent="0.2">
      <c r="A466">
        <v>464</v>
      </c>
      <c r="B466" t="s">
        <v>557</v>
      </c>
      <c r="C466" t="s">
        <v>142</v>
      </c>
      <c r="D466" t="s">
        <v>142</v>
      </c>
      <c r="E466" t="s">
        <v>3</v>
      </c>
      <c r="F466" t="s">
        <v>32</v>
      </c>
      <c r="G466" t="s">
        <v>3</v>
      </c>
      <c r="H466" t="s">
        <v>136</v>
      </c>
      <c r="I466" t="s">
        <v>170</v>
      </c>
      <c r="J466" t="s">
        <v>6</v>
      </c>
      <c r="K466" t="s">
        <v>1</v>
      </c>
      <c r="L466" t="s">
        <v>3</v>
      </c>
    </row>
    <row r="467" spans="1:12" x14ac:dyDescent="0.2">
      <c r="A467">
        <v>465</v>
      </c>
      <c r="B467" t="s">
        <v>558</v>
      </c>
      <c r="C467" t="s">
        <v>15</v>
      </c>
      <c r="D467" t="s">
        <v>15</v>
      </c>
      <c r="E467" t="s">
        <v>3</v>
      </c>
      <c r="F467" t="s">
        <v>233</v>
      </c>
      <c r="G467" t="s">
        <v>3</v>
      </c>
      <c r="H467" t="s">
        <v>4</v>
      </c>
      <c r="I467" t="s">
        <v>170</v>
      </c>
      <c r="J467" t="s">
        <v>19</v>
      </c>
      <c r="K467" t="s">
        <v>171</v>
      </c>
      <c r="L467" t="s">
        <v>206</v>
      </c>
    </row>
  </sheetData>
  <mergeCells count="2">
    <mergeCell ref="N1:S1"/>
    <mergeCell ref="T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EF62-3374-1543-8BB4-044D40C6D153}">
  <dimension ref="A1:NC15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S96" sqref="AS96:AT137"/>
    </sheetView>
  </sheetViews>
  <sheetFormatPr baseColWidth="10" defaultRowHeight="16" x14ac:dyDescent="0.2"/>
  <cols>
    <col min="1" max="1" width="50" customWidth="1"/>
    <col min="3" max="3" width="48.1640625" customWidth="1"/>
    <col min="4" max="4" width="29.33203125" style="7" customWidth="1"/>
    <col min="5" max="5" width="0.5" style="7" customWidth="1"/>
    <col min="7" max="368" width="32" customWidth="1"/>
  </cols>
  <sheetData>
    <row r="1" spans="1:367" ht="301" customHeight="1" x14ac:dyDescent="0.2">
      <c r="A1" s="3"/>
      <c r="B1" s="3" t="s">
        <v>708</v>
      </c>
      <c r="C1" s="3" t="s">
        <v>709</v>
      </c>
      <c r="D1" s="6" t="s">
        <v>710</v>
      </c>
      <c r="E1" s="6"/>
      <c r="F1" s="8" t="s">
        <v>751</v>
      </c>
      <c r="G1" s="24" t="s">
        <v>166</v>
      </c>
      <c r="H1" s="24" t="s">
        <v>166</v>
      </c>
      <c r="I1" s="24" t="s">
        <v>173</v>
      </c>
      <c r="J1" s="24" t="s">
        <v>174</v>
      </c>
      <c r="K1" s="24" t="s">
        <v>175</v>
      </c>
      <c r="L1" s="24" t="s">
        <v>176</v>
      </c>
      <c r="M1" s="24" t="s">
        <v>177</v>
      </c>
      <c r="N1" s="24" t="s">
        <v>178</v>
      </c>
      <c r="O1" s="24" t="s">
        <v>179</v>
      </c>
      <c r="P1" s="24" t="s">
        <v>180</v>
      </c>
      <c r="Q1" s="24" t="s">
        <v>181</v>
      </c>
      <c r="R1" s="24" t="s">
        <v>182</v>
      </c>
      <c r="S1" s="24" t="s">
        <v>185</v>
      </c>
      <c r="T1" s="24" t="s">
        <v>186</v>
      </c>
      <c r="U1" s="24" t="s">
        <v>190</v>
      </c>
      <c r="V1" s="24" t="s">
        <v>191</v>
      </c>
      <c r="W1" s="24" t="s">
        <v>193</v>
      </c>
      <c r="X1" s="24" t="s">
        <v>194</v>
      </c>
      <c r="Y1" s="24" t="s">
        <v>195</v>
      </c>
      <c r="Z1" s="24" t="s">
        <v>196</v>
      </c>
      <c r="AA1" s="24" t="s">
        <v>197</v>
      </c>
      <c r="AB1" s="24" t="s">
        <v>200</v>
      </c>
      <c r="AC1" s="24" t="s">
        <v>201</v>
      </c>
      <c r="AD1" s="24" t="s">
        <v>202</v>
      </c>
      <c r="AE1" s="24" t="s">
        <v>203</v>
      </c>
      <c r="AF1" s="24" t="s">
        <v>204</v>
      </c>
      <c r="AG1" s="24" t="s">
        <v>205</v>
      </c>
      <c r="AH1" s="24" t="s">
        <v>207</v>
      </c>
      <c r="AI1" s="24" t="s">
        <v>208</v>
      </c>
      <c r="AJ1" s="24" t="s">
        <v>209</v>
      </c>
      <c r="AK1" s="24" t="s">
        <v>211</v>
      </c>
      <c r="AL1" s="24" t="s">
        <v>213</v>
      </c>
      <c r="AM1" s="24" t="s">
        <v>215</v>
      </c>
      <c r="AN1" s="24" t="s">
        <v>217</v>
      </c>
      <c r="AO1" s="24" t="s">
        <v>219</v>
      </c>
      <c r="AP1" s="24" t="s">
        <v>220</v>
      </c>
      <c r="AQ1" s="24" t="s">
        <v>223</v>
      </c>
      <c r="AR1" s="24" t="s">
        <v>224</v>
      </c>
      <c r="AS1" s="24" t="s">
        <v>225</v>
      </c>
      <c r="AT1" s="24" t="s">
        <v>226</v>
      </c>
      <c r="AU1" s="24" t="s">
        <v>228</v>
      </c>
      <c r="AV1" s="24" t="s">
        <v>229</v>
      </c>
      <c r="AW1" s="24" t="s">
        <v>230</v>
      </c>
      <c r="AX1" s="24" t="s">
        <v>231</v>
      </c>
      <c r="AY1" s="24" t="s">
        <v>232</v>
      </c>
      <c r="AZ1" s="24" t="s">
        <v>234</v>
      </c>
      <c r="BA1" s="24" t="s">
        <v>235</v>
      </c>
      <c r="BB1" s="24" t="s">
        <v>237</v>
      </c>
      <c r="BC1" s="24" t="s">
        <v>237</v>
      </c>
      <c r="BD1" s="24" t="s">
        <v>238</v>
      </c>
      <c r="BE1" s="24" t="s">
        <v>239</v>
      </c>
      <c r="BF1" s="24" t="s">
        <v>240</v>
      </c>
      <c r="BG1" s="24" t="s">
        <v>241</v>
      </c>
      <c r="BH1" s="24" t="s">
        <v>242</v>
      </c>
      <c r="BI1" s="24" t="s">
        <v>243</v>
      </c>
      <c r="BJ1" s="24" t="s">
        <v>244</v>
      </c>
      <c r="BK1" s="24" t="s">
        <v>245</v>
      </c>
      <c r="BL1" s="24" t="s">
        <v>246</v>
      </c>
      <c r="BM1" s="24" t="s">
        <v>247</v>
      </c>
      <c r="BN1" s="24" t="s">
        <v>247</v>
      </c>
      <c r="BO1" s="24" t="s">
        <v>248</v>
      </c>
      <c r="BP1" s="24" t="s">
        <v>249</v>
      </c>
      <c r="BQ1" s="24" t="s">
        <v>250</v>
      </c>
      <c r="BR1" s="24" t="s">
        <v>250</v>
      </c>
      <c r="BS1" s="24" t="s">
        <v>251</v>
      </c>
      <c r="BT1" s="24" t="s">
        <v>252</v>
      </c>
      <c r="BU1" s="24" t="s">
        <v>253</v>
      </c>
      <c r="BV1" s="24" t="s">
        <v>254</v>
      </c>
      <c r="BW1" s="24" t="s">
        <v>255</v>
      </c>
      <c r="BX1" s="24" t="s">
        <v>256</v>
      </c>
      <c r="BY1" s="24" t="s">
        <v>257</v>
      </c>
      <c r="BZ1" s="24" t="s">
        <v>258</v>
      </c>
      <c r="CA1" s="24" t="s">
        <v>259</v>
      </c>
      <c r="CB1" s="24" t="s">
        <v>261</v>
      </c>
      <c r="CC1" s="24" t="s">
        <v>262</v>
      </c>
      <c r="CD1" s="24" t="s">
        <v>263</v>
      </c>
      <c r="CE1" s="24" t="s">
        <v>264</v>
      </c>
      <c r="CF1" s="24" t="s">
        <v>266</v>
      </c>
      <c r="CG1" s="24" t="s">
        <v>267</v>
      </c>
      <c r="CH1" s="24" t="s">
        <v>268</v>
      </c>
      <c r="CI1" s="24" t="s">
        <v>269</v>
      </c>
      <c r="CJ1" s="24" t="s">
        <v>272</v>
      </c>
      <c r="CK1" s="24" t="s">
        <v>273</v>
      </c>
      <c r="CL1" s="24" t="s">
        <v>274</v>
      </c>
      <c r="CM1" s="24" t="s">
        <v>275</v>
      </c>
      <c r="CN1" s="24" t="s">
        <v>276</v>
      </c>
      <c r="CO1" s="24" t="s">
        <v>277</v>
      </c>
      <c r="CP1" s="24" t="s">
        <v>278</v>
      </c>
      <c r="CQ1" s="24" t="s">
        <v>279</v>
      </c>
      <c r="CR1" s="24" t="s">
        <v>280</v>
      </c>
      <c r="CS1" s="24" t="s">
        <v>281</v>
      </c>
      <c r="CT1" s="24" t="s">
        <v>281</v>
      </c>
      <c r="CU1" s="24" t="s">
        <v>282</v>
      </c>
      <c r="CV1" s="24" t="s">
        <v>283</v>
      </c>
      <c r="CW1" s="24" t="s">
        <v>284</v>
      </c>
      <c r="CX1" s="24" t="s">
        <v>285</v>
      </c>
      <c r="CY1" s="24" t="s">
        <v>286</v>
      </c>
      <c r="CZ1" s="24" t="s">
        <v>287</v>
      </c>
      <c r="DA1" s="24" t="s">
        <v>288</v>
      </c>
      <c r="DB1" s="24" t="s">
        <v>289</v>
      </c>
      <c r="DC1" s="24" t="s">
        <v>290</v>
      </c>
      <c r="DD1" s="24" t="s">
        <v>291</v>
      </c>
      <c r="DE1" s="24" t="s">
        <v>292</v>
      </c>
      <c r="DF1" s="24" t="s">
        <v>292</v>
      </c>
      <c r="DG1" s="24" t="s">
        <v>293</v>
      </c>
      <c r="DH1" s="24" t="s">
        <v>294</v>
      </c>
      <c r="DI1" s="24" t="s">
        <v>295</v>
      </c>
      <c r="DJ1" s="24" t="s">
        <v>296</v>
      </c>
      <c r="DK1" s="24" t="s">
        <v>297</v>
      </c>
      <c r="DL1" s="24" t="s">
        <v>298</v>
      </c>
      <c r="DM1" s="24" t="s">
        <v>299</v>
      </c>
      <c r="DN1" s="24" t="s">
        <v>300</v>
      </c>
      <c r="DO1" s="24" t="s">
        <v>301</v>
      </c>
      <c r="DP1" s="24" t="s">
        <v>302</v>
      </c>
      <c r="DQ1" s="24" t="s">
        <v>303</v>
      </c>
      <c r="DR1" s="24" t="s">
        <v>304</v>
      </c>
      <c r="DS1" s="24" t="s">
        <v>305</v>
      </c>
      <c r="DT1" s="24" t="s">
        <v>306</v>
      </c>
      <c r="DU1" s="24" t="s">
        <v>307</v>
      </c>
      <c r="DV1" s="24" t="s">
        <v>308</v>
      </c>
      <c r="DW1" s="24" t="s">
        <v>309</v>
      </c>
      <c r="DX1" s="24" t="s">
        <v>310</v>
      </c>
      <c r="DY1" s="24" t="s">
        <v>311</v>
      </c>
      <c r="DZ1" s="24" t="s">
        <v>312</v>
      </c>
      <c r="EA1" s="24" t="s">
        <v>313</v>
      </c>
      <c r="EB1" s="24" t="s">
        <v>314</v>
      </c>
      <c r="EC1" s="24" t="s">
        <v>315</v>
      </c>
      <c r="ED1" s="24" t="s">
        <v>316</v>
      </c>
      <c r="EE1" s="24" t="s">
        <v>317</v>
      </c>
      <c r="EF1" s="24" t="s">
        <v>318</v>
      </c>
      <c r="EG1" s="24" t="s">
        <v>319</v>
      </c>
      <c r="EH1" s="24" t="s">
        <v>320</v>
      </c>
      <c r="EI1" s="24" t="s">
        <v>321</v>
      </c>
      <c r="EJ1" s="24" t="s">
        <v>322</v>
      </c>
      <c r="EK1" s="24" t="s">
        <v>323</v>
      </c>
      <c r="EL1" s="24" t="s">
        <v>324</v>
      </c>
      <c r="EM1" s="24" t="s">
        <v>325</v>
      </c>
      <c r="EN1" s="24" t="s">
        <v>326</v>
      </c>
      <c r="EO1" s="24" t="s">
        <v>327</v>
      </c>
      <c r="EP1" s="24" t="s">
        <v>328</v>
      </c>
      <c r="EQ1" s="24" t="s">
        <v>329</v>
      </c>
      <c r="ER1" s="24" t="s">
        <v>330</v>
      </c>
      <c r="ES1" s="24" t="s">
        <v>331</v>
      </c>
      <c r="ET1" s="24" t="s">
        <v>331</v>
      </c>
      <c r="EU1" s="24" t="s">
        <v>332</v>
      </c>
      <c r="EV1" s="24" t="s">
        <v>333</v>
      </c>
      <c r="EW1" s="24" t="s">
        <v>334</v>
      </c>
      <c r="EX1" s="24" t="s">
        <v>335</v>
      </c>
      <c r="EY1" s="24" t="s">
        <v>336</v>
      </c>
      <c r="EZ1" s="24" t="s">
        <v>337</v>
      </c>
      <c r="FA1" s="24" t="s">
        <v>338</v>
      </c>
      <c r="FB1" s="24" t="s">
        <v>339</v>
      </c>
      <c r="FC1" s="24" t="s">
        <v>340</v>
      </c>
      <c r="FD1" s="24" t="s">
        <v>340</v>
      </c>
      <c r="FE1" s="24" t="s">
        <v>341</v>
      </c>
      <c r="FF1" s="24" t="s">
        <v>342</v>
      </c>
      <c r="FG1" s="24" t="s">
        <v>343</v>
      </c>
      <c r="FH1" s="24" t="s">
        <v>344</v>
      </c>
      <c r="FI1" s="24" t="s">
        <v>345</v>
      </c>
      <c r="FJ1" s="24" t="s">
        <v>346</v>
      </c>
      <c r="FK1" s="24" t="s">
        <v>347</v>
      </c>
      <c r="FL1" s="24" t="s">
        <v>348</v>
      </c>
      <c r="FM1" s="24" t="s">
        <v>349</v>
      </c>
      <c r="FN1" s="24" t="s">
        <v>352</v>
      </c>
      <c r="FO1" s="24" t="s">
        <v>353</v>
      </c>
      <c r="FP1" s="24" t="s">
        <v>354</v>
      </c>
      <c r="FQ1" s="24" t="s">
        <v>355</v>
      </c>
      <c r="FR1" s="24" t="s">
        <v>356</v>
      </c>
      <c r="FS1" s="24" t="s">
        <v>357</v>
      </c>
      <c r="FT1" s="24" t="s">
        <v>358</v>
      </c>
      <c r="FU1" s="24" t="s">
        <v>359</v>
      </c>
      <c r="FV1" s="24" t="s">
        <v>360</v>
      </c>
      <c r="FW1" s="24" t="s">
        <v>361</v>
      </c>
      <c r="FX1" s="24" t="s">
        <v>362</v>
      </c>
      <c r="FY1" s="24" t="s">
        <v>363</v>
      </c>
      <c r="FZ1" s="24" t="s">
        <v>364</v>
      </c>
      <c r="GA1" s="24" t="s">
        <v>365</v>
      </c>
      <c r="GB1" s="24" t="s">
        <v>366</v>
      </c>
      <c r="GC1" s="24" t="s">
        <v>367</v>
      </c>
      <c r="GD1" s="24" t="s">
        <v>368</v>
      </c>
      <c r="GE1" s="24" t="s">
        <v>369</v>
      </c>
      <c r="GF1" s="24" t="s">
        <v>370</v>
      </c>
      <c r="GG1" s="24" t="s">
        <v>371</v>
      </c>
      <c r="GH1" s="24" t="s">
        <v>372</v>
      </c>
      <c r="GI1" s="24" t="s">
        <v>373</v>
      </c>
      <c r="GJ1" s="24" t="s">
        <v>374</v>
      </c>
      <c r="GK1" s="24" t="s">
        <v>375</v>
      </c>
      <c r="GL1" s="24" t="s">
        <v>376</v>
      </c>
      <c r="GM1" s="24" t="s">
        <v>377</v>
      </c>
      <c r="GN1" s="24" t="s">
        <v>378</v>
      </c>
      <c r="GO1" s="24" t="s">
        <v>379</v>
      </c>
      <c r="GP1" s="24" t="s">
        <v>380</v>
      </c>
      <c r="GQ1" s="24" t="s">
        <v>381</v>
      </c>
      <c r="GR1" s="24" t="s">
        <v>382</v>
      </c>
      <c r="GS1" s="24" t="s">
        <v>383</v>
      </c>
      <c r="GT1" s="24" t="s">
        <v>384</v>
      </c>
      <c r="GU1" s="24" t="s">
        <v>385</v>
      </c>
      <c r="GV1" s="24" t="s">
        <v>386</v>
      </c>
      <c r="GW1" s="24" t="s">
        <v>387</v>
      </c>
      <c r="GX1" s="24" t="s">
        <v>388</v>
      </c>
      <c r="GY1" s="24" t="s">
        <v>389</v>
      </c>
      <c r="GZ1" s="24" t="s">
        <v>390</v>
      </c>
      <c r="HA1" s="24" t="s">
        <v>391</v>
      </c>
      <c r="HB1" s="24" t="s">
        <v>392</v>
      </c>
      <c r="HC1" s="24" t="s">
        <v>393</v>
      </c>
      <c r="HD1" s="24" t="s">
        <v>394</v>
      </c>
      <c r="HE1" s="24" t="s">
        <v>395</v>
      </c>
      <c r="HF1" s="24" t="s">
        <v>396</v>
      </c>
      <c r="HG1" s="24" t="s">
        <v>397</v>
      </c>
      <c r="HH1" s="24" t="s">
        <v>398</v>
      </c>
      <c r="HI1" s="24" t="s">
        <v>399</v>
      </c>
      <c r="HJ1" s="24" t="s">
        <v>400</v>
      </c>
      <c r="HK1" s="24" t="s">
        <v>401</v>
      </c>
      <c r="HL1" s="24" t="s">
        <v>402</v>
      </c>
      <c r="HM1" s="24" t="s">
        <v>403</v>
      </c>
      <c r="HN1" s="24" t="s">
        <v>404</v>
      </c>
      <c r="HO1" s="24" t="s">
        <v>405</v>
      </c>
      <c r="HP1" s="24" t="s">
        <v>406</v>
      </c>
      <c r="HQ1" s="24" t="s">
        <v>407</v>
      </c>
      <c r="HR1" s="24" t="s">
        <v>408</v>
      </c>
      <c r="HS1" s="24" t="s">
        <v>409</v>
      </c>
      <c r="HT1" s="24" t="s">
        <v>410</v>
      </c>
      <c r="HU1" s="24" t="s">
        <v>411</v>
      </c>
      <c r="HV1" s="24" t="s">
        <v>412</v>
      </c>
      <c r="HW1" s="24" t="s">
        <v>413</v>
      </c>
      <c r="HX1" s="24" t="s">
        <v>414</v>
      </c>
      <c r="HY1" s="24" t="s">
        <v>415</v>
      </c>
      <c r="HZ1" s="24" t="s">
        <v>416</v>
      </c>
      <c r="IA1" s="24" t="s">
        <v>417</v>
      </c>
      <c r="IB1" s="24" t="s">
        <v>418</v>
      </c>
      <c r="IC1" s="24" t="s">
        <v>419</v>
      </c>
      <c r="ID1" s="24" t="s">
        <v>420</v>
      </c>
      <c r="IE1" s="24" t="s">
        <v>421</v>
      </c>
      <c r="IF1" s="24" t="s">
        <v>422</v>
      </c>
      <c r="IG1" s="24" t="s">
        <v>423</v>
      </c>
      <c r="IH1" s="24" t="s">
        <v>424</v>
      </c>
      <c r="II1" s="24" t="s">
        <v>425</v>
      </c>
      <c r="IJ1" s="24" t="s">
        <v>426</v>
      </c>
      <c r="IK1" s="24" t="s">
        <v>427</v>
      </c>
      <c r="IL1" s="24" t="s">
        <v>428</v>
      </c>
      <c r="IM1" s="24" t="s">
        <v>429</v>
      </c>
      <c r="IN1" s="24" t="s">
        <v>430</v>
      </c>
      <c r="IO1" s="24" t="s">
        <v>431</v>
      </c>
      <c r="IP1" s="24" t="s">
        <v>432</v>
      </c>
      <c r="IQ1" s="24" t="s">
        <v>433</v>
      </c>
      <c r="IR1" s="24" t="s">
        <v>434</v>
      </c>
      <c r="IS1" s="24" t="s">
        <v>434</v>
      </c>
      <c r="IT1" s="24" t="s">
        <v>435</v>
      </c>
      <c r="IU1" s="24" t="s">
        <v>436</v>
      </c>
      <c r="IV1" s="24" t="s">
        <v>437</v>
      </c>
      <c r="IW1" s="24" t="s">
        <v>438</v>
      </c>
      <c r="IX1" s="24" t="s">
        <v>439</v>
      </c>
      <c r="IY1" s="24" t="s">
        <v>440</v>
      </c>
      <c r="IZ1" s="24" t="s">
        <v>441</v>
      </c>
      <c r="JA1" s="24" t="s">
        <v>442</v>
      </c>
      <c r="JB1" s="24" t="s">
        <v>443</v>
      </c>
      <c r="JC1" s="24" t="s">
        <v>444</v>
      </c>
      <c r="JD1" s="24" t="s">
        <v>445</v>
      </c>
      <c r="JE1" s="24" t="s">
        <v>446</v>
      </c>
      <c r="JF1" s="24" t="s">
        <v>447</v>
      </c>
      <c r="JG1" s="24" t="s">
        <v>448</v>
      </c>
      <c r="JH1" s="24" t="s">
        <v>449</v>
      </c>
      <c r="JI1" s="24" t="s">
        <v>450</v>
      </c>
      <c r="JJ1" s="24" t="s">
        <v>451</v>
      </c>
      <c r="JK1" s="24" t="s">
        <v>452</v>
      </c>
      <c r="JL1" s="24" t="s">
        <v>453</v>
      </c>
      <c r="JM1" s="24" t="s">
        <v>454</v>
      </c>
      <c r="JN1" s="24" t="s">
        <v>455</v>
      </c>
      <c r="JO1" s="24" t="s">
        <v>456</v>
      </c>
      <c r="JP1" s="24" t="s">
        <v>457</v>
      </c>
      <c r="JQ1" s="24" t="s">
        <v>458</v>
      </c>
      <c r="JR1" s="24" t="s">
        <v>459</v>
      </c>
      <c r="JS1" s="24" t="s">
        <v>460</v>
      </c>
      <c r="JT1" s="24" t="s">
        <v>461</v>
      </c>
      <c r="JU1" s="24" t="s">
        <v>462</v>
      </c>
      <c r="JV1" s="24" t="s">
        <v>463</v>
      </c>
      <c r="JW1" s="24" t="s">
        <v>464</v>
      </c>
      <c r="JX1" s="24" t="s">
        <v>465</v>
      </c>
      <c r="JY1" s="24" t="s">
        <v>466</v>
      </c>
      <c r="JZ1" s="24" t="s">
        <v>467</v>
      </c>
      <c r="KA1" s="24" t="s">
        <v>468</v>
      </c>
      <c r="KB1" s="24" t="s">
        <v>469</v>
      </c>
      <c r="KC1" s="24" t="s">
        <v>470</v>
      </c>
      <c r="KD1" s="24" t="s">
        <v>471</v>
      </c>
      <c r="KE1" s="24" t="s">
        <v>472</v>
      </c>
      <c r="KF1" s="24" t="s">
        <v>473</v>
      </c>
      <c r="KG1" s="24" t="s">
        <v>474</v>
      </c>
      <c r="KH1" s="24" t="s">
        <v>475</v>
      </c>
      <c r="KI1" s="24" t="s">
        <v>476</v>
      </c>
      <c r="KJ1" s="24" t="s">
        <v>477</v>
      </c>
      <c r="KK1" s="24" t="s">
        <v>478</v>
      </c>
      <c r="KL1" s="24" t="s">
        <v>479</v>
      </c>
      <c r="KM1" s="24" t="s">
        <v>480</v>
      </c>
      <c r="KN1" s="24" t="s">
        <v>481</v>
      </c>
      <c r="KO1" s="24" t="s">
        <v>482</v>
      </c>
      <c r="KP1" s="24" t="s">
        <v>483</v>
      </c>
      <c r="KQ1" s="24" t="s">
        <v>484</v>
      </c>
      <c r="KR1" s="24" t="s">
        <v>485</v>
      </c>
      <c r="KS1" s="24" t="s">
        <v>486</v>
      </c>
      <c r="KT1" s="24" t="s">
        <v>487</v>
      </c>
      <c r="KU1" s="24" t="s">
        <v>488</v>
      </c>
      <c r="KV1" s="24" t="s">
        <v>489</v>
      </c>
      <c r="KW1" s="24" t="s">
        <v>491</v>
      </c>
      <c r="KX1" s="24" t="s">
        <v>492</v>
      </c>
      <c r="KY1" s="24" t="s">
        <v>493</v>
      </c>
      <c r="KZ1" s="24" t="s">
        <v>495</v>
      </c>
      <c r="LA1" s="24" t="s">
        <v>496</v>
      </c>
      <c r="LB1" s="24" t="s">
        <v>498</v>
      </c>
      <c r="LC1" s="24" t="s">
        <v>499</v>
      </c>
      <c r="LD1" s="24" t="s">
        <v>501</v>
      </c>
      <c r="LE1" s="24" t="s">
        <v>502</v>
      </c>
      <c r="LF1" s="24" t="s">
        <v>504</v>
      </c>
      <c r="LG1" s="24" t="s">
        <v>505</v>
      </c>
      <c r="LH1" s="24" t="s">
        <v>506</v>
      </c>
      <c r="LI1" s="24" t="s">
        <v>507</v>
      </c>
      <c r="LJ1" s="24" t="s">
        <v>509</v>
      </c>
      <c r="LK1" s="24" t="s">
        <v>510</v>
      </c>
      <c r="LL1" s="24" t="s">
        <v>511</v>
      </c>
      <c r="LM1" s="24" t="s">
        <v>512</v>
      </c>
      <c r="LN1" s="24" t="s">
        <v>513</v>
      </c>
      <c r="LO1" s="24" t="s">
        <v>514</v>
      </c>
      <c r="LP1" s="24" t="s">
        <v>515</v>
      </c>
      <c r="LQ1" s="24" t="s">
        <v>516</v>
      </c>
      <c r="LR1" s="24" t="s">
        <v>517</v>
      </c>
      <c r="LS1" s="24" t="s">
        <v>518</v>
      </c>
      <c r="LT1" s="24" t="s">
        <v>518</v>
      </c>
      <c r="LU1" s="24" t="s">
        <v>519</v>
      </c>
      <c r="LV1" s="24" t="s">
        <v>521</v>
      </c>
      <c r="LW1" s="24" t="s">
        <v>522</v>
      </c>
      <c r="LX1" s="24" t="s">
        <v>522</v>
      </c>
      <c r="LY1" s="24" t="s">
        <v>525</v>
      </c>
      <c r="LZ1" s="24" t="s">
        <v>526</v>
      </c>
      <c r="MA1" s="24" t="s">
        <v>527</v>
      </c>
      <c r="MB1" s="24" t="s">
        <v>528</v>
      </c>
      <c r="MC1" s="24" t="s">
        <v>529</v>
      </c>
      <c r="MD1" s="24" t="s">
        <v>531</v>
      </c>
      <c r="ME1" s="24" t="s">
        <v>533</v>
      </c>
      <c r="MF1" s="24" t="s">
        <v>534</v>
      </c>
      <c r="MG1" s="24" t="s">
        <v>535</v>
      </c>
      <c r="MH1" s="24" t="s">
        <v>535</v>
      </c>
      <c r="MI1" s="24" t="s">
        <v>536</v>
      </c>
      <c r="MJ1" s="24" t="s">
        <v>537</v>
      </c>
      <c r="MK1" s="24" t="s">
        <v>538</v>
      </c>
      <c r="ML1" s="24" t="s">
        <v>538</v>
      </c>
      <c r="MM1" s="24" t="s">
        <v>539</v>
      </c>
      <c r="MN1" s="24" t="s">
        <v>540</v>
      </c>
      <c r="MO1" s="24" t="s">
        <v>542</v>
      </c>
      <c r="MP1" s="24" t="s">
        <v>543</v>
      </c>
      <c r="MQ1" s="24" t="s">
        <v>544</v>
      </c>
      <c r="MR1" s="24" t="s">
        <v>545</v>
      </c>
      <c r="MS1" s="24" t="s">
        <v>546</v>
      </c>
      <c r="MT1" s="24" t="s">
        <v>548</v>
      </c>
      <c r="MU1" s="24" t="s">
        <v>549</v>
      </c>
      <c r="MV1" s="24" t="s">
        <v>550</v>
      </c>
      <c r="MW1" s="24" t="s">
        <v>551</v>
      </c>
      <c r="MX1" s="24" t="s">
        <v>552</v>
      </c>
      <c r="MY1" s="24" t="s">
        <v>553</v>
      </c>
      <c r="MZ1" s="24" t="s">
        <v>554</v>
      </c>
      <c r="NA1" s="24" t="s">
        <v>556</v>
      </c>
      <c r="NB1" s="24" t="s">
        <v>557</v>
      </c>
      <c r="NC1" s="24" t="s">
        <v>558</v>
      </c>
    </row>
    <row r="2" spans="1:367" ht="27" customHeight="1" x14ac:dyDescent="0.2">
      <c r="A2" s="3"/>
      <c r="B2" s="3"/>
      <c r="C2" s="3"/>
      <c r="D2" s="6"/>
      <c r="E2" s="6"/>
      <c r="F2" s="8"/>
      <c r="G2" s="24">
        <v>1</v>
      </c>
      <c r="H2" s="24">
        <f>G2+1</f>
        <v>2</v>
      </c>
      <c r="I2" s="24">
        <f t="shared" ref="I2:BT2" si="0">H2+1</f>
        <v>3</v>
      </c>
      <c r="J2" s="24">
        <f t="shared" si="0"/>
        <v>4</v>
      </c>
      <c r="K2" s="24">
        <f t="shared" si="0"/>
        <v>5</v>
      </c>
      <c r="L2" s="24">
        <f t="shared" si="0"/>
        <v>6</v>
      </c>
      <c r="M2" s="24">
        <f t="shared" si="0"/>
        <v>7</v>
      </c>
      <c r="N2" s="24">
        <f t="shared" si="0"/>
        <v>8</v>
      </c>
      <c r="O2" s="24">
        <f t="shared" si="0"/>
        <v>9</v>
      </c>
      <c r="P2" s="24">
        <f t="shared" si="0"/>
        <v>10</v>
      </c>
      <c r="Q2" s="24">
        <f t="shared" si="0"/>
        <v>11</v>
      </c>
      <c r="R2" s="24">
        <f t="shared" si="0"/>
        <v>12</v>
      </c>
      <c r="S2" s="24">
        <f t="shared" si="0"/>
        <v>13</v>
      </c>
      <c r="T2" s="24">
        <f t="shared" si="0"/>
        <v>14</v>
      </c>
      <c r="U2" s="24">
        <f t="shared" si="0"/>
        <v>15</v>
      </c>
      <c r="V2" s="24">
        <f t="shared" si="0"/>
        <v>16</v>
      </c>
      <c r="W2" s="24">
        <f t="shared" si="0"/>
        <v>17</v>
      </c>
      <c r="X2" s="24">
        <f t="shared" si="0"/>
        <v>18</v>
      </c>
      <c r="Y2" s="24">
        <f t="shared" si="0"/>
        <v>19</v>
      </c>
      <c r="Z2" s="24">
        <f t="shared" si="0"/>
        <v>20</v>
      </c>
      <c r="AA2" s="24">
        <f t="shared" si="0"/>
        <v>21</v>
      </c>
      <c r="AB2" s="24">
        <f t="shared" si="0"/>
        <v>22</v>
      </c>
      <c r="AC2" s="24">
        <f t="shared" si="0"/>
        <v>23</v>
      </c>
      <c r="AD2" s="24">
        <f t="shared" si="0"/>
        <v>24</v>
      </c>
      <c r="AE2" s="24">
        <f t="shared" si="0"/>
        <v>25</v>
      </c>
      <c r="AF2" s="24">
        <f t="shared" si="0"/>
        <v>26</v>
      </c>
      <c r="AG2" s="24">
        <f t="shared" si="0"/>
        <v>27</v>
      </c>
      <c r="AH2" s="24">
        <f t="shared" si="0"/>
        <v>28</v>
      </c>
      <c r="AI2" s="24">
        <f t="shared" si="0"/>
        <v>29</v>
      </c>
      <c r="AJ2" s="24">
        <f t="shared" si="0"/>
        <v>30</v>
      </c>
      <c r="AK2" s="24">
        <f t="shared" si="0"/>
        <v>31</v>
      </c>
      <c r="AL2" s="24">
        <f t="shared" si="0"/>
        <v>32</v>
      </c>
      <c r="AM2" s="24">
        <f t="shared" si="0"/>
        <v>33</v>
      </c>
      <c r="AN2" s="24">
        <f t="shared" si="0"/>
        <v>34</v>
      </c>
      <c r="AO2" s="24">
        <f t="shared" si="0"/>
        <v>35</v>
      </c>
      <c r="AP2" s="24">
        <f t="shared" si="0"/>
        <v>36</v>
      </c>
      <c r="AQ2" s="24">
        <f t="shared" si="0"/>
        <v>37</v>
      </c>
      <c r="AR2" s="24">
        <f t="shared" si="0"/>
        <v>38</v>
      </c>
      <c r="AS2" s="24">
        <f t="shared" si="0"/>
        <v>39</v>
      </c>
      <c r="AT2" s="24">
        <f t="shared" si="0"/>
        <v>40</v>
      </c>
      <c r="AU2" s="24">
        <f t="shared" si="0"/>
        <v>41</v>
      </c>
      <c r="AV2" s="24">
        <f t="shared" si="0"/>
        <v>42</v>
      </c>
      <c r="AW2" s="24">
        <f t="shared" si="0"/>
        <v>43</v>
      </c>
      <c r="AX2" s="24">
        <f t="shared" si="0"/>
        <v>44</v>
      </c>
      <c r="AY2" s="24">
        <f t="shared" si="0"/>
        <v>45</v>
      </c>
      <c r="AZ2" s="24">
        <f t="shared" si="0"/>
        <v>46</v>
      </c>
      <c r="BA2" s="24">
        <f t="shared" si="0"/>
        <v>47</v>
      </c>
      <c r="BB2" s="24">
        <f t="shared" si="0"/>
        <v>48</v>
      </c>
      <c r="BC2" s="24">
        <f t="shared" si="0"/>
        <v>49</v>
      </c>
      <c r="BD2" s="24">
        <f t="shared" si="0"/>
        <v>50</v>
      </c>
      <c r="BE2" s="24">
        <f t="shared" si="0"/>
        <v>51</v>
      </c>
      <c r="BF2" s="24">
        <f t="shared" si="0"/>
        <v>52</v>
      </c>
      <c r="BG2" s="24">
        <f t="shared" si="0"/>
        <v>53</v>
      </c>
      <c r="BH2" s="24">
        <f t="shared" si="0"/>
        <v>54</v>
      </c>
      <c r="BI2" s="24">
        <f t="shared" si="0"/>
        <v>55</v>
      </c>
      <c r="BJ2" s="24">
        <f t="shared" si="0"/>
        <v>56</v>
      </c>
      <c r="BK2" s="24">
        <f t="shared" si="0"/>
        <v>57</v>
      </c>
      <c r="BL2" s="24">
        <f t="shared" si="0"/>
        <v>58</v>
      </c>
      <c r="BM2" s="24">
        <f t="shared" si="0"/>
        <v>59</v>
      </c>
      <c r="BN2" s="24">
        <f t="shared" si="0"/>
        <v>60</v>
      </c>
      <c r="BO2" s="24">
        <f t="shared" si="0"/>
        <v>61</v>
      </c>
      <c r="BP2" s="24">
        <f t="shared" si="0"/>
        <v>62</v>
      </c>
      <c r="BQ2" s="24">
        <f t="shared" si="0"/>
        <v>63</v>
      </c>
      <c r="BR2" s="24">
        <f t="shared" si="0"/>
        <v>64</v>
      </c>
      <c r="BS2" s="24">
        <f t="shared" si="0"/>
        <v>65</v>
      </c>
      <c r="BT2" s="24">
        <f t="shared" si="0"/>
        <v>66</v>
      </c>
      <c r="BU2" s="24">
        <f t="shared" ref="BU2:EF2" si="1">BT2+1</f>
        <v>67</v>
      </c>
      <c r="BV2" s="24">
        <f t="shared" si="1"/>
        <v>68</v>
      </c>
      <c r="BW2" s="24">
        <f t="shared" si="1"/>
        <v>69</v>
      </c>
      <c r="BX2" s="24">
        <f t="shared" si="1"/>
        <v>70</v>
      </c>
      <c r="BY2" s="24">
        <f t="shared" si="1"/>
        <v>71</v>
      </c>
      <c r="BZ2" s="24">
        <f t="shared" si="1"/>
        <v>72</v>
      </c>
      <c r="CA2" s="24">
        <f t="shared" si="1"/>
        <v>73</v>
      </c>
      <c r="CB2" s="24">
        <f t="shared" si="1"/>
        <v>74</v>
      </c>
      <c r="CC2" s="24">
        <f t="shared" si="1"/>
        <v>75</v>
      </c>
      <c r="CD2" s="24">
        <f t="shared" si="1"/>
        <v>76</v>
      </c>
      <c r="CE2" s="24">
        <f t="shared" si="1"/>
        <v>77</v>
      </c>
      <c r="CF2" s="24">
        <f t="shared" si="1"/>
        <v>78</v>
      </c>
      <c r="CG2" s="24">
        <f t="shared" si="1"/>
        <v>79</v>
      </c>
      <c r="CH2" s="24">
        <f t="shared" si="1"/>
        <v>80</v>
      </c>
      <c r="CI2" s="24">
        <f t="shared" si="1"/>
        <v>81</v>
      </c>
      <c r="CJ2" s="24">
        <f t="shared" si="1"/>
        <v>82</v>
      </c>
      <c r="CK2" s="24">
        <f t="shared" si="1"/>
        <v>83</v>
      </c>
      <c r="CL2" s="24">
        <f t="shared" si="1"/>
        <v>84</v>
      </c>
      <c r="CM2" s="24">
        <f t="shared" si="1"/>
        <v>85</v>
      </c>
      <c r="CN2" s="24">
        <f t="shared" si="1"/>
        <v>86</v>
      </c>
      <c r="CO2" s="24">
        <f t="shared" si="1"/>
        <v>87</v>
      </c>
      <c r="CP2" s="24">
        <f t="shared" si="1"/>
        <v>88</v>
      </c>
      <c r="CQ2" s="24">
        <f t="shared" si="1"/>
        <v>89</v>
      </c>
      <c r="CR2" s="24">
        <f t="shared" si="1"/>
        <v>90</v>
      </c>
      <c r="CS2" s="24">
        <f t="shared" si="1"/>
        <v>91</v>
      </c>
      <c r="CT2" s="24">
        <f t="shared" si="1"/>
        <v>92</v>
      </c>
      <c r="CU2" s="24">
        <f t="shared" si="1"/>
        <v>93</v>
      </c>
      <c r="CV2" s="24">
        <f t="shared" si="1"/>
        <v>94</v>
      </c>
      <c r="CW2" s="24">
        <f t="shared" si="1"/>
        <v>95</v>
      </c>
      <c r="CX2" s="24">
        <f t="shared" si="1"/>
        <v>96</v>
      </c>
      <c r="CY2" s="24">
        <f t="shared" si="1"/>
        <v>97</v>
      </c>
      <c r="CZ2" s="24">
        <f t="shared" si="1"/>
        <v>98</v>
      </c>
      <c r="DA2" s="24">
        <f t="shared" si="1"/>
        <v>99</v>
      </c>
      <c r="DB2" s="24">
        <f t="shared" si="1"/>
        <v>100</v>
      </c>
      <c r="DC2" s="24">
        <f t="shared" si="1"/>
        <v>101</v>
      </c>
      <c r="DD2" s="24">
        <f t="shared" si="1"/>
        <v>102</v>
      </c>
      <c r="DE2" s="24">
        <f t="shared" si="1"/>
        <v>103</v>
      </c>
      <c r="DF2" s="24">
        <f t="shared" si="1"/>
        <v>104</v>
      </c>
      <c r="DG2" s="24">
        <f t="shared" si="1"/>
        <v>105</v>
      </c>
      <c r="DH2" s="24">
        <f t="shared" si="1"/>
        <v>106</v>
      </c>
      <c r="DI2" s="24">
        <f t="shared" si="1"/>
        <v>107</v>
      </c>
      <c r="DJ2" s="24">
        <f t="shared" si="1"/>
        <v>108</v>
      </c>
      <c r="DK2" s="24">
        <f t="shared" si="1"/>
        <v>109</v>
      </c>
      <c r="DL2" s="24">
        <f t="shared" si="1"/>
        <v>110</v>
      </c>
      <c r="DM2" s="24">
        <f t="shared" si="1"/>
        <v>111</v>
      </c>
      <c r="DN2" s="24">
        <f t="shared" si="1"/>
        <v>112</v>
      </c>
      <c r="DO2" s="24">
        <f t="shared" si="1"/>
        <v>113</v>
      </c>
      <c r="DP2" s="24">
        <f t="shared" si="1"/>
        <v>114</v>
      </c>
      <c r="DQ2" s="24">
        <f t="shared" si="1"/>
        <v>115</v>
      </c>
      <c r="DR2" s="24">
        <f t="shared" si="1"/>
        <v>116</v>
      </c>
      <c r="DS2" s="24">
        <f t="shared" si="1"/>
        <v>117</v>
      </c>
      <c r="DT2" s="24">
        <f t="shared" si="1"/>
        <v>118</v>
      </c>
      <c r="DU2" s="24">
        <f t="shared" si="1"/>
        <v>119</v>
      </c>
      <c r="DV2" s="24">
        <f t="shared" si="1"/>
        <v>120</v>
      </c>
      <c r="DW2" s="24">
        <f t="shared" si="1"/>
        <v>121</v>
      </c>
      <c r="DX2" s="24">
        <f t="shared" si="1"/>
        <v>122</v>
      </c>
      <c r="DY2" s="24">
        <f t="shared" si="1"/>
        <v>123</v>
      </c>
      <c r="DZ2" s="24">
        <f t="shared" si="1"/>
        <v>124</v>
      </c>
      <c r="EA2" s="24">
        <f t="shared" si="1"/>
        <v>125</v>
      </c>
      <c r="EB2" s="24">
        <f t="shared" si="1"/>
        <v>126</v>
      </c>
      <c r="EC2" s="24">
        <f t="shared" si="1"/>
        <v>127</v>
      </c>
      <c r="ED2" s="24">
        <f t="shared" si="1"/>
        <v>128</v>
      </c>
      <c r="EE2" s="24">
        <f t="shared" si="1"/>
        <v>129</v>
      </c>
      <c r="EF2" s="24">
        <f t="shared" si="1"/>
        <v>130</v>
      </c>
      <c r="EG2" s="24">
        <f t="shared" ref="EG2:GR2" si="2">EF2+1</f>
        <v>131</v>
      </c>
      <c r="EH2" s="24">
        <f t="shared" si="2"/>
        <v>132</v>
      </c>
      <c r="EI2" s="24">
        <f t="shared" si="2"/>
        <v>133</v>
      </c>
      <c r="EJ2" s="24">
        <f t="shared" si="2"/>
        <v>134</v>
      </c>
      <c r="EK2" s="24">
        <f t="shared" si="2"/>
        <v>135</v>
      </c>
      <c r="EL2" s="24">
        <f t="shared" si="2"/>
        <v>136</v>
      </c>
      <c r="EM2" s="24">
        <f t="shared" si="2"/>
        <v>137</v>
      </c>
      <c r="EN2" s="24">
        <f t="shared" si="2"/>
        <v>138</v>
      </c>
      <c r="EO2" s="24">
        <f t="shared" si="2"/>
        <v>139</v>
      </c>
      <c r="EP2" s="24">
        <f t="shared" si="2"/>
        <v>140</v>
      </c>
      <c r="EQ2" s="24">
        <f t="shared" si="2"/>
        <v>141</v>
      </c>
      <c r="ER2" s="24">
        <f t="shared" si="2"/>
        <v>142</v>
      </c>
      <c r="ES2" s="24">
        <f t="shared" si="2"/>
        <v>143</v>
      </c>
      <c r="ET2" s="24">
        <f t="shared" si="2"/>
        <v>144</v>
      </c>
      <c r="EU2" s="24">
        <f t="shared" si="2"/>
        <v>145</v>
      </c>
      <c r="EV2" s="24">
        <f t="shared" si="2"/>
        <v>146</v>
      </c>
      <c r="EW2" s="24">
        <f t="shared" si="2"/>
        <v>147</v>
      </c>
      <c r="EX2" s="24">
        <f t="shared" si="2"/>
        <v>148</v>
      </c>
      <c r="EY2" s="24">
        <f t="shared" si="2"/>
        <v>149</v>
      </c>
      <c r="EZ2" s="24">
        <f t="shared" si="2"/>
        <v>150</v>
      </c>
      <c r="FA2" s="24">
        <f t="shared" si="2"/>
        <v>151</v>
      </c>
      <c r="FB2" s="24">
        <f t="shared" si="2"/>
        <v>152</v>
      </c>
      <c r="FC2" s="24">
        <f t="shared" si="2"/>
        <v>153</v>
      </c>
      <c r="FD2" s="24">
        <f t="shared" si="2"/>
        <v>154</v>
      </c>
      <c r="FE2" s="24">
        <f t="shared" si="2"/>
        <v>155</v>
      </c>
      <c r="FF2" s="24">
        <f t="shared" si="2"/>
        <v>156</v>
      </c>
      <c r="FG2" s="24">
        <f t="shared" si="2"/>
        <v>157</v>
      </c>
      <c r="FH2" s="24">
        <f t="shared" si="2"/>
        <v>158</v>
      </c>
      <c r="FI2" s="24">
        <f t="shared" si="2"/>
        <v>159</v>
      </c>
      <c r="FJ2" s="24">
        <f t="shared" si="2"/>
        <v>160</v>
      </c>
      <c r="FK2" s="24">
        <f t="shared" si="2"/>
        <v>161</v>
      </c>
      <c r="FL2" s="24">
        <f t="shared" si="2"/>
        <v>162</v>
      </c>
      <c r="FM2" s="24">
        <f t="shared" si="2"/>
        <v>163</v>
      </c>
      <c r="FN2" s="24">
        <f t="shared" si="2"/>
        <v>164</v>
      </c>
      <c r="FO2" s="24">
        <f t="shared" si="2"/>
        <v>165</v>
      </c>
      <c r="FP2" s="24">
        <f t="shared" si="2"/>
        <v>166</v>
      </c>
      <c r="FQ2" s="24">
        <f t="shared" si="2"/>
        <v>167</v>
      </c>
      <c r="FR2" s="24">
        <f t="shared" si="2"/>
        <v>168</v>
      </c>
      <c r="FS2" s="24">
        <f t="shared" si="2"/>
        <v>169</v>
      </c>
      <c r="FT2" s="24">
        <f t="shared" si="2"/>
        <v>170</v>
      </c>
      <c r="FU2" s="24">
        <f t="shared" si="2"/>
        <v>171</v>
      </c>
      <c r="FV2" s="24">
        <f t="shared" si="2"/>
        <v>172</v>
      </c>
      <c r="FW2" s="24">
        <f t="shared" si="2"/>
        <v>173</v>
      </c>
      <c r="FX2" s="24">
        <f t="shared" si="2"/>
        <v>174</v>
      </c>
      <c r="FY2" s="24">
        <f t="shared" si="2"/>
        <v>175</v>
      </c>
      <c r="FZ2" s="24">
        <f t="shared" si="2"/>
        <v>176</v>
      </c>
      <c r="GA2" s="24">
        <f t="shared" si="2"/>
        <v>177</v>
      </c>
      <c r="GB2" s="24">
        <f t="shared" si="2"/>
        <v>178</v>
      </c>
      <c r="GC2" s="24">
        <f t="shared" si="2"/>
        <v>179</v>
      </c>
      <c r="GD2" s="24">
        <f t="shared" si="2"/>
        <v>180</v>
      </c>
      <c r="GE2" s="24">
        <f t="shared" si="2"/>
        <v>181</v>
      </c>
      <c r="GF2" s="24">
        <f t="shared" si="2"/>
        <v>182</v>
      </c>
      <c r="GG2" s="24">
        <f t="shared" si="2"/>
        <v>183</v>
      </c>
      <c r="GH2" s="24">
        <f t="shared" si="2"/>
        <v>184</v>
      </c>
      <c r="GI2" s="24">
        <f t="shared" si="2"/>
        <v>185</v>
      </c>
      <c r="GJ2" s="24">
        <f t="shared" si="2"/>
        <v>186</v>
      </c>
      <c r="GK2" s="24">
        <f t="shared" si="2"/>
        <v>187</v>
      </c>
      <c r="GL2" s="24">
        <f t="shared" si="2"/>
        <v>188</v>
      </c>
      <c r="GM2" s="24">
        <f t="shared" si="2"/>
        <v>189</v>
      </c>
      <c r="GN2" s="24">
        <f t="shared" si="2"/>
        <v>190</v>
      </c>
      <c r="GO2" s="24">
        <f t="shared" si="2"/>
        <v>191</v>
      </c>
      <c r="GP2" s="24">
        <f t="shared" si="2"/>
        <v>192</v>
      </c>
      <c r="GQ2" s="24">
        <f t="shared" si="2"/>
        <v>193</v>
      </c>
      <c r="GR2" s="24">
        <f t="shared" si="2"/>
        <v>194</v>
      </c>
      <c r="GS2" s="24">
        <f t="shared" ref="GS2:JD2" si="3">GR2+1</f>
        <v>195</v>
      </c>
      <c r="GT2" s="24">
        <f t="shared" si="3"/>
        <v>196</v>
      </c>
      <c r="GU2" s="24">
        <f t="shared" si="3"/>
        <v>197</v>
      </c>
      <c r="GV2" s="24">
        <f t="shared" si="3"/>
        <v>198</v>
      </c>
      <c r="GW2" s="24">
        <f t="shared" si="3"/>
        <v>199</v>
      </c>
      <c r="GX2" s="24">
        <f t="shared" si="3"/>
        <v>200</v>
      </c>
      <c r="GY2" s="24">
        <f t="shared" si="3"/>
        <v>201</v>
      </c>
      <c r="GZ2" s="24">
        <f t="shared" si="3"/>
        <v>202</v>
      </c>
      <c r="HA2" s="24">
        <f t="shared" si="3"/>
        <v>203</v>
      </c>
      <c r="HB2" s="24">
        <f t="shared" si="3"/>
        <v>204</v>
      </c>
      <c r="HC2" s="24">
        <f t="shared" si="3"/>
        <v>205</v>
      </c>
      <c r="HD2" s="24">
        <f t="shared" si="3"/>
        <v>206</v>
      </c>
      <c r="HE2" s="24">
        <f t="shared" si="3"/>
        <v>207</v>
      </c>
      <c r="HF2" s="24">
        <f t="shared" si="3"/>
        <v>208</v>
      </c>
      <c r="HG2" s="24">
        <f t="shared" si="3"/>
        <v>209</v>
      </c>
      <c r="HH2" s="24">
        <f t="shared" si="3"/>
        <v>210</v>
      </c>
      <c r="HI2" s="24">
        <f t="shared" si="3"/>
        <v>211</v>
      </c>
      <c r="HJ2" s="24">
        <f t="shared" si="3"/>
        <v>212</v>
      </c>
      <c r="HK2" s="24">
        <f t="shared" si="3"/>
        <v>213</v>
      </c>
      <c r="HL2" s="24">
        <f t="shared" si="3"/>
        <v>214</v>
      </c>
      <c r="HM2" s="24">
        <f t="shared" si="3"/>
        <v>215</v>
      </c>
      <c r="HN2" s="24">
        <f t="shared" si="3"/>
        <v>216</v>
      </c>
      <c r="HO2" s="24">
        <f t="shared" si="3"/>
        <v>217</v>
      </c>
      <c r="HP2" s="24">
        <f t="shared" si="3"/>
        <v>218</v>
      </c>
      <c r="HQ2" s="24">
        <f t="shared" si="3"/>
        <v>219</v>
      </c>
      <c r="HR2" s="24">
        <f t="shared" si="3"/>
        <v>220</v>
      </c>
      <c r="HS2" s="24">
        <f t="shared" si="3"/>
        <v>221</v>
      </c>
      <c r="HT2" s="24">
        <f t="shared" si="3"/>
        <v>222</v>
      </c>
      <c r="HU2" s="24">
        <f t="shared" si="3"/>
        <v>223</v>
      </c>
      <c r="HV2" s="24">
        <f t="shared" si="3"/>
        <v>224</v>
      </c>
      <c r="HW2" s="24">
        <f t="shared" si="3"/>
        <v>225</v>
      </c>
      <c r="HX2" s="24">
        <f t="shared" si="3"/>
        <v>226</v>
      </c>
      <c r="HY2" s="24">
        <f t="shared" si="3"/>
        <v>227</v>
      </c>
      <c r="HZ2" s="24">
        <f t="shared" si="3"/>
        <v>228</v>
      </c>
      <c r="IA2" s="24">
        <f t="shared" si="3"/>
        <v>229</v>
      </c>
      <c r="IB2" s="24">
        <f t="shared" si="3"/>
        <v>230</v>
      </c>
      <c r="IC2" s="24">
        <f t="shared" si="3"/>
        <v>231</v>
      </c>
      <c r="ID2" s="24">
        <f t="shared" si="3"/>
        <v>232</v>
      </c>
      <c r="IE2" s="24">
        <f t="shared" si="3"/>
        <v>233</v>
      </c>
      <c r="IF2" s="24">
        <f t="shared" si="3"/>
        <v>234</v>
      </c>
      <c r="IG2" s="24">
        <f t="shared" si="3"/>
        <v>235</v>
      </c>
      <c r="IH2" s="24">
        <f t="shared" si="3"/>
        <v>236</v>
      </c>
      <c r="II2" s="24">
        <f t="shared" si="3"/>
        <v>237</v>
      </c>
      <c r="IJ2" s="24">
        <f t="shared" si="3"/>
        <v>238</v>
      </c>
      <c r="IK2" s="24">
        <f t="shared" si="3"/>
        <v>239</v>
      </c>
      <c r="IL2" s="24">
        <f t="shared" si="3"/>
        <v>240</v>
      </c>
      <c r="IM2" s="24">
        <f t="shared" si="3"/>
        <v>241</v>
      </c>
      <c r="IN2" s="24">
        <f t="shared" si="3"/>
        <v>242</v>
      </c>
      <c r="IO2" s="24">
        <f t="shared" si="3"/>
        <v>243</v>
      </c>
      <c r="IP2" s="24">
        <f t="shared" si="3"/>
        <v>244</v>
      </c>
      <c r="IQ2" s="24">
        <f t="shared" si="3"/>
        <v>245</v>
      </c>
      <c r="IR2" s="24">
        <f t="shared" si="3"/>
        <v>246</v>
      </c>
      <c r="IS2" s="24">
        <f t="shared" si="3"/>
        <v>247</v>
      </c>
      <c r="IT2" s="24">
        <f t="shared" si="3"/>
        <v>248</v>
      </c>
      <c r="IU2" s="24">
        <f t="shared" si="3"/>
        <v>249</v>
      </c>
      <c r="IV2" s="24">
        <f t="shared" si="3"/>
        <v>250</v>
      </c>
      <c r="IW2" s="24">
        <f t="shared" si="3"/>
        <v>251</v>
      </c>
      <c r="IX2" s="24">
        <f t="shared" si="3"/>
        <v>252</v>
      </c>
      <c r="IY2" s="24">
        <f t="shared" si="3"/>
        <v>253</v>
      </c>
      <c r="IZ2" s="24">
        <f t="shared" si="3"/>
        <v>254</v>
      </c>
      <c r="JA2" s="24">
        <f t="shared" si="3"/>
        <v>255</v>
      </c>
      <c r="JB2" s="24">
        <f t="shared" si="3"/>
        <v>256</v>
      </c>
      <c r="JC2" s="24">
        <f t="shared" si="3"/>
        <v>257</v>
      </c>
      <c r="JD2" s="24">
        <f t="shared" si="3"/>
        <v>258</v>
      </c>
      <c r="JE2" s="24">
        <f t="shared" ref="JE2:LP2" si="4">JD2+1</f>
        <v>259</v>
      </c>
      <c r="JF2" s="24">
        <f t="shared" si="4"/>
        <v>260</v>
      </c>
      <c r="JG2" s="24">
        <f t="shared" si="4"/>
        <v>261</v>
      </c>
      <c r="JH2" s="24">
        <f t="shared" si="4"/>
        <v>262</v>
      </c>
      <c r="JI2" s="24">
        <f t="shared" si="4"/>
        <v>263</v>
      </c>
      <c r="JJ2" s="24">
        <f t="shared" si="4"/>
        <v>264</v>
      </c>
      <c r="JK2" s="24">
        <f t="shared" si="4"/>
        <v>265</v>
      </c>
      <c r="JL2" s="24">
        <f t="shared" si="4"/>
        <v>266</v>
      </c>
      <c r="JM2" s="24">
        <f t="shared" si="4"/>
        <v>267</v>
      </c>
      <c r="JN2" s="24">
        <f t="shared" si="4"/>
        <v>268</v>
      </c>
      <c r="JO2" s="24">
        <f t="shared" si="4"/>
        <v>269</v>
      </c>
      <c r="JP2" s="24">
        <f t="shared" si="4"/>
        <v>270</v>
      </c>
      <c r="JQ2" s="24">
        <f t="shared" si="4"/>
        <v>271</v>
      </c>
      <c r="JR2" s="24">
        <f t="shared" si="4"/>
        <v>272</v>
      </c>
      <c r="JS2" s="24">
        <f t="shared" si="4"/>
        <v>273</v>
      </c>
      <c r="JT2" s="24">
        <f t="shared" si="4"/>
        <v>274</v>
      </c>
      <c r="JU2" s="24">
        <f t="shared" si="4"/>
        <v>275</v>
      </c>
      <c r="JV2" s="24">
        <f t="shared" si="4"/>
        <v>276</v>
      </c>
      <c r="JW2" s="24">
        <f t="shared" si="4"/>
        <v>277</v>
      </c>
      <c r="JX2" s="24">
        <f t="shared" si="4"/>
        <v>278</v>
      </c>
      <c r="JY2" s="24">
        <f t="shared" si="4"/>
        <v>279</v>
      </c>
      <c r="JZ2" s="24">
        <f t="shared" si="4"/>
        <v>280</v>
      </c>
      <c r="KA2" s="24">
        <f t="shared" si="4"/>
        <v>281</v>
      </c>
      <c r="KB2" s="24">
        <f t="shared" si="4"/>
        <v>282</v>
      </c>
      <c r="KC2" s="24">
        <f t="shared" si="4"/>
        <v>283</v>
      </c>
      <c r="KD2" s="24">
        <f t="shared" si="4"/>
        <v>284</v>
      </c>
      <c r="KE2" s="24">
        <f t="shared" si="4"/>
        <v>285</v>
      </c>
      <c r="KF2" s="24">
        <f t="shared" si="4"/>
        <v>286</v>
      </c>
      <c r="KG2" s="24">
        <f t="shared" si="4"/>
        <v>287</v>
      </c>
      <c r="KH2" s="24">
        <f t="shared" si="4"/>
        <v>288</v>
      </c>
      <c r="KI2" s="24">
        <f t="shared" si="4"/>
        <v>289</v>
      </c>
      <c r="KJ2" s="24">
        <f t="shared" si="4"/>
        <v>290</v>
      </c>
      <c r="KK2" s="24">
        <f t="shared" si="4"/>
        <v>291</v>
      </c>
      <c r="KL2" s="24">
        <f t="shared" si="4"/>
        <v>292</v>
      </c>
      <c r="KM2" s="24">
        <f t="shared" si="4"/>
        <v>293</v>
      </c>
      <c r="KN2" s="24">
        <f t="shared" si="4"/>
        <v>294</v>
      </c>
      <c r="KO2" s="24">
        <f t="shared" si="4"/>
        <v>295</v>
      </c>
      <c r="KP2" s="24">
        <f t="shared" si="4"/>
        <v>296</v>
      </c>
      <c r="KQ2" s="24">
        <f t="shared" si="4"/>
        <v>297</v>
      </c>
      <c r="KR2" s="24">
        <f t="shared" si="4"/>
        <v>298</v>
      </c>
      <c r="KS2" s="24">
        <f t="shared" si="4"/>
        <v>299</v>
      </c>
      <c r="KT2" s="24">
        <f t="shared" si="4"/>
        <v>300</v>
      </c>
      <c r="KU2" s="24">
        <f t="shared" si="4"/>
        <v>301</v>
      </c>
      <c r="KV2" s="24">
        <f t="shared" si="4"/>
        <v>302</v>
      </c>
      <c r="KW2" s="24">
        <f t="shared" si="4"/>
        <v>303</v>
      </c>
      <c r="KX2" s="24">
        <f t="shared" si="4"/>
        <v>304</v>
      </c>
      <c r="KY2" s="24">
        <f t="shared" si="4"/>
        <v>305</v>
      </c>
      <c r="KZ2" s="24">
        <f t="shared" si="4"/>
        <v>306</v>
      </c>
      <c r="LA2" s="24">
        <f t="shared" si="4"/>
        <v>307</v>
      </c>
      <c r="LB2" s="24">
        <f t="shared" si="4"/>
        <v>308</v>
      </c>
      <c r="LC2" s="24">
        <f t="shared" si="4"/>
        <v>309</v>
      </c>
      <c r="LD2" s="24">
        <f t="shared" si="4"/>
        <v>310</v>
      </c>
      <c r="LE2" s="24">
        <f t="shared" si="4"/>
        <v>311</v>
      </c>
      <c r="LF2" s="24">
        <f t="shared" si="4"/>
        <v>312</v>
      </c>
      <c r="LG2" s="24">
        <f t="shared" si="4"/>
        <v>313</v>
      </c>
      <c r="LH2" s="24">
        <f t="shared" si="4"/>
        <v>314</v>
      </c>
      <c r="LI2" s="24">
        <f t="shared" si="4"/>
        <v>315</v>
      </c>
      <c r="LJ2" s="24">
        <f t="shared" si="4"/>
        <v>316</v>
      </c>
      <c r="LK2" s="24">
        <f t="shared" si="4"/>
        <v>317</v>
      </c>
      <c r="LL2" s="24">
        <f t="shared" si="4"/>
        <v>318</v>
      </c>
      <c r="LM2" s="24">
        <f t="shared" si="4"/>
        <v>319</v>
      </c>
      <c r="LN2" s="24">
        <f t="shared" si="4"/>
        <v>320</v>
      </c>
      <c r="LO2" s="24">
        <f t="shared" si="4"/>
        <v>321</v>
      </c>
      <c r="LP2" s="24">
        <f t="shared" si="4"/>
        <v>322</v>
      </c>
      <c r="LQ2" s="24">
        <f t="shared" ref="LQ2:NC2" si="5">LP2+1</f>
        <v>323</v>
      </c>
      <c r="LR2" s="24">
        <f t="shared" si="5"/>
        <v>324</v>
      </c>
      <c r="LS2" s="24">
        <f t="shared" si="5"/>
        <v>325</v>
      </c>
      <c r="LT2" s="24">
        <f t="shared" si="5"/>
        <v>326</v>
      </c>
      <c r="LU2" s="24">
        <f t="shared" si="5"/>
        <v>327</v>
      </c>
      <c r="LV2" s="24">
        <f t="shared" si="5"/>
        <v>328</v>
      </c>
      <c r="LW2" s="24">
        <f t="shared" si="5"/>
        <v>329</v>
      </c>
      <c r="LX2" s="24">
        <f t="shared" si="5"/>
        <v>330</v>
      </c>
      <c r="LY2" s="24">
        <f t="shared" si="5"/>
        <v>331</v>
      </c>
      <c r="LZ2" s="24">
        <f t="shared" si="5"/>
        <v>332</v>
      </c>
      <c r="MA2" s="24">
        <f t="shared" si="5"/>
        <v>333</v>
      </c>
      <c r="MB2" s="24">
        <f t="shared" si="5"/>
        <v>334</v>
      </c>
      <c r="MC2" s="24">
        <f t="shared" si="5"/>
        <v>335</v>
      </c>
      <c r="MD2" s="24">
        <f t="shared" si="5"/>
        <v>336</v>
      </c>
      <c r="ME2" s="24">
        <f t="shared" si="5"/>
        <v>337</v>
      </c>
      <c r="MF2" s="24">
        <f t="shared" si="5"/>
        <v>338</v>
      </c>
      <c r="MG2" s="24">
        <f t="shared" si="5"/>
        <v>339</v>
      </c>
      <c r="MH2" s="24">
        <f t="shared" si="5"/>
        <v>340</v>
      </c>
      <c r="MI2" s="24">
        <f t="shared" si="5"/>
        <v>341</v>
      </c>
      <c r="MJ2" s="24">
        <f t="shared" si="5"/>
        <v>342</v>
      </c>
      <c r="MK2" s="24">
        <f t="shared" si="5"/>
        <v>343</v>
      </c>
      <c r="ML2" s="24">
        <f t="shared" si="5"/>
        <v>344</v>
      </c>
      <c r="MM2" s="24">
        <f t="shared" si="5"/>
        <v>345</v>
      </c>
      <c r="MN2" s="24">
        <f t="shared" si="5"/>
        <v>346</v>
      </c>
      <c r="MO2" s="24">
        <f t="shared" si="5"/>
        <v>347</v>
      </c>
      <c r="MP2" s="24">
        <f t="shared" si="5"/>
        <v>348</v>
      </c>
      <c r="MQ2" s="24">
        <f t="shared" si="5"/>
        <v>349</v>
      </c>
      <c r="MR2" s="24">
        <f t="shared" si="5"/>
        <v>350</v>
      </c>
      <c r="MS2" s="24">
        <f t="shared" si="5"/>
        <v>351</v>
      </c>
      <c r="MT2" s="24">
        <f t="shared" si="5"/>
        <v>352</v>
      </c>
      <c r="MU2" s="24">
        <f t="shared" si="5"/>
        <v>353</v>
      </c>
      <c r="MV2" s="24">
        <f t="shared" si="5"/>
        <v>354</v>
      </c>
      <c r="MW2" s="24">
        <f t="shared" si="5"/>
        <v>355</v>
      </c>
      <c r="MX2" s="24">
        <f t="shared" si="5"/>
        <v>356</v>
      </c>
      <c r="MY2" s="24">
        <f t="shared" si="5"/>
        <v>357</v>
      </c>
      <c r="MZ2" s="24">
        <f t="shared" si="5"/>
        <v>358</v>
      </c>
      <c r="NA2" s="24">
        <f t="shared" si="5"/>
        <v>359</v>
      </c>
      <c r="NB2" s="24">
        <f t="shared" si="5"/>
        <v>360</v>
      </c>
      <c r="NC2" s="24">
        <f t="shared" si="5"/>
        <v>361</v>
      </c>
    </row>
    <row r="3" spans="1:367" x14ac:dyDescent="0.2">
      <c r="A3" t="s">
        <v>649</v>
      </c>
      <c r="B3" t="s">
        <v>670</v>
      </c>
      <c r="D3" s="7" t="s">
        <v>711</v>
      </c>
      <c r="E3" s="10"/>
      <c r="F3" s="1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367" x14ac:dyDescent="0.2">
      <c r="A4" t="s">
        <v>650</v>
      </c>
      <c r="B4" t="s">
        <v>671</v>
      </c>
      <c r="C4" t="s">
        <v>574</v>
      </c>
      <c r="D4" s="7" t="s">
        <v>712</v>
      </c>
      <c r="E4" s="10"/>
      <c r="F4" s="15">
        <f>F7</f>
        <v>0</v>
      </c>
      <c r="G4" s="5" t="str">
        <f t="shared" ref="G4:AY4" si="6">G7</f>
        <v>Cardiovascular</v>
      </c>
      <c r="H4" s="5" t="str">
        <f t="shared" si="6"/>
        <v>Cardiovascular</v>
      </c>
      <c r="I4" s="5" t="str">
        <f t="shared" si="6"/>
        <v>Cardiovascular</v>
      </c>
      <c r="J4" s="5" t="str">
        <f t="shared" si="6"/>
        <v>Cardiovascular</v>
      </c>
      <c r="K4" s="5" t="str">
        <f t="shared" si="6"/>
        <v>Cardiovascular</v>
      </c>
      <c r="L4" s="5" t="str">
        <f t="shared" si="6"/>
        <v>Cardiovascular</v>
      </c>
      <c r="M4" s="5" t="str">
        <f t="shared" si="6"/>
        <v>Pulmonary</v>
      </c>
      <c r="N4" s="5" t="str">
        <f t="shared" si="6"/>
        <v>Pulmonary</v>
      </c>
      <c r="O4" s="5" t="str">
        <f t="shared" si="6"/>
        <v>Cardiovascular</v>
      </c>
      <c r="P4" s="5" t="str">
        <f t="shared" si="6"/>
        <v>Cardiovascular</v>
      </c>
      <c r="Q4" s="5" t="str">
        <f t="shared" si="6"/>
        <v>Cardiovascular</v>
      </c>
      <c r="R4" s="5">
        <f t="shared" si="6"/>
        <v>0</v>
      </c>
      <c r="S4" s="5">
        <f t="shared" si="6"/>
        <v>0</v>
      </c>
      <c r="T4" s="5">
        <f t="shared" si="6"/>
        <v>0</v>
      </c>
      <c r="U4" s="5">
        <f t="shared" si="6"/>
        <v>0</v>
      </c>
      <c r="V4" s="5">
        <f t="shared" si="6"/>
        <v>0</v>
      </c>
      <c r="W4" s="5">
        <f t="shared" si="6"/>
        <v>0</v>
      </c>
      <c r="X4" s="5">
        <f t="shared" si="6"/>
        <v>0</v>
      </c>
      <c r="Y4" s="5">
        <f t="shared" si="6"/>
        <v>0</v>
      </c>
      <c r="Z4" s="5">
        <f t="shared" si="6"/>
        <v>0</v>
      </c>
      <c r="AA4" s="5" t="str">
        <f t="shared" si="6"/>
        <v>Pulmonary</v>
      </c>
      <c r="AB4" s="5" t="str">
        <f t="shared" si="6"/>
        <v>Pulmonary</v>
      </c>
      <c r="AC4" s="5" t="str">
        <f t="shared" si="6"/>
        <v>Pulmonary</v>
      </c>
      <c r="AD4" s="5" t="str">
        <f t="shared" si="6"/>
        <v>Pulmonary</v>
      </c>
      <c r="AE4" s="5" t="str">
        <f t="shared" si="6"/>
        <v>Pulmonary</v>
      </c>
      <c r="AF4" s="5" t="str">
        <f t="shared" si="6"/>
        <v>Pulmonary</v>
      </c>
      <c r="AG4" s="5">
        <f t="shared" si="6"/>
        <v>0</v>
      </c>
      <c r="AH4" s="5">
        <f t="shared" si="6"/>
        <v>0</v>
      </c>
      <c r="AI4" s="5">
        <f t="shared" si="6"/>
        <v>0</v>
      </c>
      <c r="AJ4" s="5">
        <f t="shared" si="6"/>
        <v>0</v>
      </c>
      <c r="AK4" s="5">
        <f t="shared" si="6"/>
        <v>0</v>
      </c>
      <c r="AL4" s="5">
        <f t="shared" si="6"/>
        <v>0</v>
      </c>
      <c r="AM4" s="5">
        <f t="shared" si="6"/>
        <v>0</v>
      </c>
      <c r="AN4" s="5">
        <f t="shared" si="6"/>
        <v>0</v>
      </c>
      <c r="AO4" s="5">
        <f t="shared" si="6"/>
        <v>0</v>
      </c>
      <c r="AP4" s="5">
        <f t="shared" si="6"/>
        <v>0</v>
      </c>
      <c r="AQ4" s="5">
        <f t="shared" si="6"/>
        <v>0</v>
      </c>
      <c r="AR4" s="5">
        <f t="shared" si="6"/>
        <v>0</v>
      </c>
      <c r="AS4" s="5">
        <f t="shared" si="6"/>
        <v>0</v>
      </c>
      <c r="AT4" s="5">
        <f t="shared" si="6"/>
        <v>0</v>
      </c>
      <c r="AU4" s="5">
        <f t="shared" si="6"/>
        <v>0</v>
      </c>
      <c r="AV4" s="5">
        <f t="shared" si="6"/>
        <v>0</v>
      </c>
      <c r="AW4" s="5">
        <f t="shared" si="6"/>
        <v>0</v>
      </c>
      <c r="AX4" s="5">
        <f t="shared" si="6"/>
        <v>0</v>
      </c>
      <c r="AY4" s="5">
        <f t="shared" si="6"/>
        <v>0</v>
      </c>
    </row>
    <row r="5" spans="1:367" x14ac:dyDescent="0.2">
      <c r="A5" t="s">
        <v>651</v>
      </c>
      <c r="B5" t="s">
        <v>670</v>
      </c>
      <c r="D5" s="7" t="s">
        <v>713</v>
      </c>
      <c r="E5" s="10"/>
      <c r="F5" s="1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367" x14ac:dyDescent="0.2">
      <c r="E6" s="10"/>
      <c r="F6" s="17"/>
    </row>
    <row r="7" spans="1:367" x14ac:dyDescent="0.2">
      <c r="A7" t="s">
        <v>653</v>
      </c>
      <c r="B7" t="s">
        <v>670</v>
      </c>
      <c r="D7" s="7" t="s">
        <v>12</v>
      </c>
      <c r="E7" s="10"/>
      <c r="F7" s="18"/>
      <c r="G7" s="13" t="s">
        <v>586</v>
      </c>
      <c r="H7" s="13" t="str">
        <f>G7</f>
        <v>Cardiovascular</v>
      </c>
      <c r="I7" s="13" t="s">
        <v>586</v>
      </c>
      <c r="J7" s="13" t="s">
        <v>586</v>
      </c>
      <c r="K7" s="13" t="s">
        <v>586</v>
      </c>
      <c r="L7" s="13" t="s">
        <v>586</v>
      </c>
      <c r="M7" s="13" t="s">
        <v>12</v>
      </c>
      <c r="N7" s="13" t="s">
        <v>12</v>
      </c>
      <c r="O7" s="13" t="s">
        <v>586</v>
      </c>
      <c r="P7" s="13" t="s">
        <v>586</v>
      </c>
      <c r="Q7" s="13" t="s">
        <v>586</v>
      </c>
      <c r="R7" s="13"/>
      <c r="S7" s="13"/>
      <c r="T7" s="13"/>
      <c r="U7" s="13"/>
      <c r="V7" s="13"/>
      <c r="W7" s="13"/>
      <c r="X7" s="13"/>
      <c r="Y7" s="13"/>
      <c r="Z7" s="13"/>
      <c r="AA7" s="13" t="s">
        <v>12</v>
      </c>
      <c r="AB7" s="13" t="s">
        <v>12</v>
      </c>
      <c r="AC7" s="13" t="s">
        <v>12</v>
      </c>
      <c r="AD7" s="13" t="s">
        <v>12</v>
      </c>
      <c r="AE7" s="13" t="s">
        <v>12</v>
      </c>
      <c r="AF7" s="13" t="s">
        <v>12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</row>
    <row r="8" spans="1:367" x14ac:dyDescent="0.2">
      <c r="A8" t="s">
        <v>652</v>
      </c>
      <c r="B8" t="s">
        <v>671</v>
      </c>
      <c r="C8" t="s">
        <v>570</v>
      </c>
      <c r="D8" s="7" t="s">
        <v>714</v>
      </c>
      <c r="E8" s="10"/>
      <c r="F8" s="15">
        <f>F12</f>
        <v>0</v>
      </c>
      <c r="G8" s="5" t="s">
        <v>591</v>
      </c>
      <c r="H8" s="5" t="str">
        <f t="shared" ref="H8:AY8" si="7">H12</f>
        <v>Vasculature</v>
      </c>
      <c r="I8" s="5" t="str">
        <f t="shared" si="7"/>
        <v>Vasculature</v>
      </c>
      <c r="J8" s="5" t="str">
        <f t="shared" si="7"/>
        <v>Vasculature</v>
      </c>
      <c r="K8" s="5" t="str">
        <f t="shared" si="7"/>
        <v>Vasculature</v>
      </c>
      <c r="L8" s="5" t="str">
        <f t="shared" si="7"/>
        <v>Vasculature</v>
      </c>
      <c r="M8" s="5" t="str">
        <f t="shared" si="7"/>
        <v>Lungs</v>
      </c>
      <c r="N8" s="5" t="str">
        <f t="shared" si="7"/>
        <v>Lungs</v>
      </c>
      <c r="O8" s="5" t="str">
        <f t="shared" si="7"/>
        <v>Vasculature</v>
      </c>
      <c r="P8" s="5" t="str">
        <f t="shared" si="7"/>
        <v>Vasculature</v>
      </c>
      <c r="Q8" s="5" t="str">
        <f t="shared" si="7"/>
        <v>Vasculature</v>
      </c>
      <c r="R8" s="5">
        <f t="shared" si="7"/>
        <v>0</v>
      </c>
      <c r="S8" s="5">
        <f t="shared" si="7"/>
        <v>0</v>
      </c>
      <c r="T8" s="5">
        <f t="shared" si="7"/>
        <v>0</v>
      </c>
      <c r="U8" s="5">
        <f t="shared" si="7"/>
        <v>0</v>
      </c>
      <c r="V8" s="5">
        <f t="shared" si="7"/>
        <v>0</v>
      </c>
      <c r="W8" s="5">
        <f t="shared" si="7"/>
        <v>0</v>
      </c>
      <c r="X8" s="5">
        <f t="shared" si="7"/>
        <v>0</v>
      </c>
      <c r="Y8" s="5">
        <f t="shared" si="7"/>
        <v>0</v>
      </c>
      <c r="Z8" s="5">
        <f t="shared" si="7"/>
        <v>0</v>
      </c>
      <c r="AA8" s="5" t="str">
        <f t="shared" si="7"/>
        <v>Lungs</v>
      </c>
      <c r="AB8" s="5" t="str">
        <f t="shared" si="7"/>
        <v>Lungs</v>
      </c>
      <c r="AC8" s="5" t="str">
        <f t="shared" si="7"/>
        <v>Lungs</v>
      </c>
      <c r="AD8" s="5" t="str">
        <f t="shared" si="7"/>
        <v>Lungs</v>
      </c>
      <c r="AE8" s="5" t="str">
        <f t="shared" si="7"/>
        <v>Lungs</v>
      </c>
      <c r="AF8" s="5" t="str">
        <f t="shared" si="7"/>
        <v>Lungs</v>
      </c>
      <c r="AG8" s="5">
        <f t="shared" si="7"/>
        <v>0</v>
      </c>
      <c r="AH8" s="5">
        <f t="shared" si="7"/>
        <v>0</v>
      </c>
      <c r="AI8" s="5">
        <f t="shared" si="7"/>
        <v>0</v>
      </c>
      <c r="AJ8" s="5">
        <f t="shared" si="7"/>
        <v>0</v>
      </c>
      <c r="AK8" s="5">
        <f t="shared" si="7"/>
        <v>0</v>
      </c>
      <c r="AL8" s="5">
        <f t="shared" si="7"/>
        <v>0</v>
      </c>
      <c r="AM8" s="5">
        <f t="shared" si="7"/>
        <v>0</v>
      </c>
      <c r="AN8" s="5">
        <f t="shared" si="7"/>
        <v>0</v>
      </c>
      <c r="AO8" s="5">
        <f t="shared" si="7"/>
        <v>0</v>
      </c>
      <c r="AP8" s="5">
        <f t="shared" si="7"/>
        <v>0</v>
      </c>
      <c r="AQ8" s="5">
        <f t="shared" si="7"/>
        <v>0</v>
      </c>
      <c r="AR8" s="5">
        <f t="shared" si="7"/>
        <v>0</v>
      </c>
      <c r="AS8" s="5">
        <f t="shared" si="7"/>
        <v>0</v>
      </c>
      <c r="AT8" s="5">
        <f t="shared" si="7"/>
        <v>0</v>
      </c>
      <c r="AU8" s="5">
        <f t="shared" si="7"/>
        <v>0</v>
      </c>
      <c r="AV8" s="5">
        <f t="shared" si="7"/>
        <v>0</v>
      </c>
      <c r="AW8" s="5">
        <f t="shared" si="7"/>
        <v>0</v>
      </c>
      <c r="AX8" s="5">
        <f t="shared" si="7"/>
        <v>0</v>
      </c>
      <c r="AY8" s="5">
        <f t="shared" si="7"/>
        <v>0</v>
      </c>
    </row>
    <row r="9" spans="1:367" x14ac:dyDescent="0.2">
      <c r="A9" t="s">
        <v>654</v>
      </c>
      <c r="B9" t="s">
        <v>670</v>
      </c>
      <c r="D9" s="7" t="s">
        <v>715</v>
      </c>
      <c r="E9" s="10"/>
      <c r="F9" s="1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367" x14ac:dyDescent="0.2">
      <c r="A10" t="s">
        <v>655</v>
      </c>
      <c r="B10" t="s">
        <v>670</v>
      </c>
      <c r="D10" s="7" t="s">
        <v>713</v>
      </c>
      <c r="E10" s="10"/>
      <c r="F10" s="1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367" x14ac:dyDescent="0.2">
      <c r="E11" s="10"/>
      <c r="F11" s="17"/>
    </row>
    <row r="12" spans="1:367" x14ac:dyDescent="0.2">
      <c r="A12" t="s">
        <v>656</v>
      </c>
      <c r="B12" t="s">
        <v>670</v>
      </c>
      <c r="D12" s="7" t="s">
        <v>714</v>
      </c>
      <c r="E12" s="10"/>
      <c r="F12" s="18"/>
      <c r="G12" s="13" t="s">
        <v>591</v>
      </c>
      <c r="H12" s="13" t="str">
        <f>G12</f>
        <v>Vasculature</v>
      </c>
      <c r="I12" s="13" t="s">
        <v>591</v>
      </c>
      <c r="J12" s="13" t="s">
        <v>591</v>
      </c>
      <c r="K12" s="13" t="s">
        <v>591</v>
      </c>
      <c r="L12" s="13" t="s">
        <v>591</v>
      </c>
      <c r="M12" s="13" t="s">
        <v>714</v>
      </c>
      <c r="N12" s="13" t="s">
        <v>714</v>
      </c>
      <c r="O12" s="13" t="s">
        <v>591</v>
      </c>
      <c r="P12" s="13" t="s">
        <v>591</v>
      </c>
      <c r="Q12" s="13" t="s">
        <v>591</v>
      </c>
      <c r="R12" s="13"/>
      <c r="S12" s="13"/>
      <c r="T12" s="13"/>
      <c r="U12" s="13"/>
      <c r="V12" s="13"/>
      <c r="W12" s="13"/>
      <c r="X12" s="13"/>
      <c r="Y12" s="13"/>
      <c r="Z12" s="13"/>
      <c r="AA12" s="13" t="s">
        <v>714</v>
      </c>
      <c r="AB12" s="13" t="s">
        <v>714</v>
      </c>
      <c r="AC12" s="13" t="s">
        <v>714</v>
      </c>
      <c r="AD12" s="13" t="s">
        <v>714</v>
      </c>
      <c r="AE12" s="13" t="s">
        <v>714</v>
      </c>
      <c r="AF12" s="13" t="s">
        <v>714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1:367" x14ac:dyDescent="0.2">
      <c r="A13" t="s">
        <v>657</v>
      </c>
      <c r="B13" t="s">
        <v>671</v>
      </c>
      <c r="C13" t="s">
        <v>575</v>
      </c>
      <c r="D13" s="7" t="s">
        <v>716</v>
      </c>
      <c r="E13" s="10"/>
      <c r="F13" s="15">
        <f>F17</f>
        <v>0</v>
      </c>
      <c r="G13" s="5" t="str">
        <f t="shared" ref="G13:AY13" si="8">G17</f>
        <v>Systemic pressure</v>
      </c>
      <c r="H13" s="5" t="str">
        <f t="shared" si="8"/>
        <v>Systemic pressure</v>
      </c>
      <c r="I13" s="5" t="str">
        <f t="shared" si="8"/>
        <v>Systemic pressure</v>
      </c>
      <c r="J13" s="5" t="str">
        <f t="shared" si="8"/>
        <v>Systemic pressure</v>
      </c>
      <c r="K13" s="5" t="str">
        <f t="shared" si="8"/>
        <v>Systemic pressure</v>
      </c>
      <c r="L13" s="5" t="str">
        <f t="shared" si="8"/>
        <v>Systemic pressure</v>
      </c>
      <c r="M13" s="5" t="str">
        <f t="shared" si="8"/>
        <v>Pulmonary Ventilation</v>
      </c>
      <c r="N13" s="5" t="str">
        <f t="shared" si="8"/>
        <v>Pulmonary Ventilation</v>
      </c>
      <c r="O13" s="5" t="str">
        <f t="shared" si="8"/>
        <v>Systemic perfusion</v>
      </c>
      <c r="P13" s="5" t="str">
        <f t="shared" si="8"/>
        <v>Systemic perfusion</v>
      </c>
      <c r="Q13" s="5" t="str">
        <f t="shared" si="8"/>
        <v>VenousReturn</v>
      </c>
      <c r="R13" s="5">
        <f t="shared" si="8"/>
        <v>0</v>
      </c>
      <c r="S13" s="5">
        <f t="shared" si="8"/>
        <v>0</v>
      </c>
      <c r="T13" s="5">
        <f t="shared" si="8"/>
        <v>0</v>
      </c>
      <c r="U13" s="5">
        <f t="shared" si="8"/>
        <v>0</v>
      </c>
      <c r="V13" s="5">
        <f t="shared" si="8"/>
        <v>0</v>
      </c>
      <c r="W13" s="5">
        <f t="shared" si="8"/>
        <v>0</v>
      </c>
      <c r="X13" s="5">
        <f t="shared" si="8"/>
        <v>0</v>
      </c>
      <c r="Y13" s="5">
        <f t="shared" si="8"/>
        <v>0</v>
      </c>
      <c r="Z13" s="5">
        <f t="shared" si="8"/>
        <v>0</v>
      </c>
      <c r="AA13" s="5" t="str">
        <f t="shared" si="8"/>
        <v>pulm_oxygenation</v>
      </c>
      <c r="AB13" s="5" t="str">
        <f t="shared" si="8"/>
        <v>pulm_oxygenation</v>
      </c>
      <c r="AC13" s="5" t="str">
        <f t="shared" si="8"/>
        <v>pulm_oxygenation</v>
      </c>
      <c r="AD13" s="5" t="str">
        <f t="shared" si="8"/>
        <v>pulm_oxygenation</v>
      </c>
      <c r="AE13" s="5" t="str">
        <f t="shared" si="8"/>
        <v>pulm_oxygenation</v>
      </c>
      <c r="AF13" s="5" t="str">
        <f t="shared" si="8"/>
        <v>pulm_oxygenation</v>
      </c>
      <c r="AG13" s="5">
        <f t="shared" si="8"/>
        <v>0</v>
      </c>
      <c r="AH13" s="5">
        <f t="shared" si="8"/>
        <v>0</v>
      </c>
      <c r="AI13" s="5">
        <f t="shared" si="8"/>
        <v>0</v>
      </c>
      <c r="AJ13" s="5">
        <f t="shared" si="8"/>
        <v>0</v>
      </c>
      <c r="AK13" s="5">
        <f t="shared" si="8"/>
        <v>0</v>
      </c>
      <c r="AL13" s="5">
        <f t="shared" si="8"/>
        <v>0</v>
      </c>
      <c r="AM13" s="5">
        <f t="shared" si="8"/>
        <v>0</v>
      </c>
      <c r="AN13" s="5">
        <f t="shared" si="8"/>
        <v>0</v>
      </c>
      <c r="AO13" s="5">
        <f t="shared" si="8"/>
        <v>0</v>
      </c>
      <c r="AP13" s="5">
        <f t="shared" si="8"/>
        <v>0</v>
      </c>
      <c r="AQ13" s="5">
        <f t="shared" si="8"/>
        <v>0</v>
      </c>
      <c r="AR13" s="5">
        <f t="shared" si="8"/>
        <v>0</v>
      </c>
      <c r="AS13" s="5">
        <f t="shared" si="8"/>
        <v>0</v>
      </c>
      <c r="AT13" s="5">
        <f t="shared" si="8"/>
        <v>0</v>
      </c>
      <c r="AU13" s="5">
        <f t="shared" si="8"/>
        <v>0</v>
      </c>
      <c r="AV13" s="5">
        <f t="shared" si="8"/>
        <v>0</v>
      </c>
      <c r="AW13" s="5">
        <f t="shared" si="8"/>
        <v>0</v>
      </c>
      <c r="AX13" s="5">
        <f t="shared" si="8"/>
        <v>0</v>
      </c>
      <c r="AY13" s="5">
        <f t="shared" si="8"/>
        <v>0</v>
      </c>
    </row>
    <row r="14" spans="1:367" x14ac:dyDescent="0.2">
      <c r="A14" t="s">
        <v>658</v>
      </c>
      <c r="B14" t="s">
        <v>670</v>
      </c>
      <c r="D14" s="7" t="s">
        <v>715</v>
      </c>
      <c r="E14" s="10"/>
      <c r="F14" s="19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367" x14ac:dyDescent="0.2">
      <c r="A15" t="s">
        <v>659</v>
      </c>
      <c r="B15" t="s">
        <v>670</v>
      </c>
      <c r="D15" s="7" t="s">
        <v>713</v>
      </c>
      <c r="E15" s="10"/>
      <c r="F15" s="19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367" x14ac:dyDescent="0.2">
      <c r="E16" s="10"/>
      <c r="F16" s="17"/>
    </row>
    <row r="17" spans="1:51" x14ac:dyDescent="0.2">
      <c r="A17" t="s">
        <v>660</v>
      </c>
      <c r="B17" t="s">
        <v>670</v>
      </c>
      <c r="D17" s="7" t="s">
        <v>717</v>
      </c>
      <c r="E17" s="10"/>
      <c r="F17" s="18"/>
      <c r="G17" s="13" t="s">
        <v>756</v>
      </c>
      <c r="H17" s="13" t="str">
        <f>G17</f>
        <v>Systemic pressure</v>
      </c>
      <c r="I17" s="13" t="s">
        <v>756</v>
      </c>
      <c r="J17" s="13" t="s">
        <v>756</v>
      </c>
      <c r="K17" s="13" t="s">
        <v>756</v>
      </c>
      <c r="L17" s="13" t="s">
        <v>756</v>
      </c>
      <c r="M17" s="13" t="s">
        <v>592</v>
      </c>
      <c r="N17" s="13" t="s">
        <v>592</v>
      </c>
      <c r="O17" s="13" t="s">
        <v>792</v>
      </c>
      <c r="P17" s="13" t="s">
        <v>792</v>
      </c>
      <c r="Q17" s="13" t="s">
        <v>794</v>
      </c>
      <c r="R17" s="13"/>
      <c r="S17" s="13"/>
      <c r="T17" s="13"/>
      <c r="U17" s="13"/>
      <c r="V17" s="13"/>
      <c r="W17" s="13"/>
      <c r="X17" s="13"/>
      <c r="Y17" s="13"/>
      <c r="Z17" s="13"/>
      <c r="AA17" s="13" t="s">
        <v>717</v>
      </c>
      <c r="AB17" s="13" t="s">
        <v>717</v>
      </c>
      <c r="AC17" s="13" t="s">
        <v>717</v>
      </c>
      <c r="AD17" s="13" t="s">
        <v>717</v>
      </c>
      <c r="AE17" s="13" t="s">
        <v>717</v>
      </c>
      <c r="AF17" s="13" t="s">
        <v>717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1:51" x14ac:dyDescent="0.2">
      <c r="A18" t="s">
        <v>674</v>
      </c>
      <c r="B18" t="s">
        <v>671</v>
      </c>
      <c r="C18" t="s">
        <v>576</v>
      </c>
      <c r="D18" s="7" t="s">
        <v>718</v>
      </c>
      <c r="E18" s="10"/>
      <c r="F18" s="15">
        <f>F22</f>
        <v>0</v>
      </c>
      <c r="G18" s="5" t="str">
        <f t="shared" ref="G18:AY18" si="9">G22</f>
        <v>AorticPressure</v>
      </c>
      <c r="H18" s="5" t="str">
        <f t="shared" si="9"/>
        <v>AorticPressure</v>
      </c>
      <c r="I18" s="5" t="str">
        <f t="shared" si="9"/>
        <v>Aortic pressure</v>
      </c>
      <c r="J18" s="5" t="str">
        <f t="shared" si="9"/>
        <v>Aortic pressure</v>
      </c>
      <c r="K18" s="5" t="str">
        <f t="shared" si="9"/>
        <v>Aortic pressure</v>
      </c>
      <c r="L18" s="5" t="str">
        <f t="shared" si="9"/>
        <v>Aortic pressure</v>
      </c>
      <c r="M18" s="5" t="str">
        <f t="shared" si="9"/>
        <v>Respiratory Rate</v>
      </c>
      <c r="N18" s="5" t="str">
        <f t="shared" si="9"/>
        <v>Respiratory Rate</v>
      </c>
      <c r="O18" s="5" t="str">
        <f t="shared" si="9"/>
        <v>CerebralPerfusionPressure</v>
      </c>
      <c r="P18" s="5" t="str">
        <f t="shared" si="9"/>
        <v>CerebralPerfusionPressure</v>
      </c>
      <c r="Q18" s="5" t="str">
        <f t="shared" si="9"/>
        <v>CentralVenousPressure_Property</v>
      </c>
      <c r="R18" s="5">
        <f t="shared" si="9"/>
        <v>0</v>
      </c>
      <c r="S18" s="5">
        <f t="shared" si="9"/>
        <v>0</v>
      </c>
      <c r="T18" s="5">
        <f t="shared" si="9"/>
        <v>0</v>
      </c>
      <c r="U18" s="5">
        <f t="shared" si="9"/>
        <v>0</v>
      </c>
      <c r="V18" s="5">
        <f t="shared" si="9"/>
        <v>0</v>
      </c>
      <c r="W18" s="5">
        <f t="shared" si="9"/>
        <v>0</v>
      </c>
      <c r="X18" s="5">
        <f t="shared" si="9"/>
        <v>0</v>
      </c>
      <c r="Y18" s="5">
        <f t="shared" si="9"/>
        <v>0</v>
      </c>
      <c r="Z18" s="5">
        <f t="shared" si="9"/>
        <v>0</v>
      </c>
      <c r="AA18" s="5" t="str">
        <f t="shared" si="9"/>
        <v>SaO2</v>
      </c>
      <c r="AB18" s="5" t="str">
        <f t="shared" si="9"/>
        <v>SaO2</v>
      </c>
      <c r="AC18" s="5" t="str">
        <f t="shared" si="9"/>
        <v>SaO2</v>
      </c>
      <c r="AD18" s="5" t="str">
        <f t="shared" si="9"/>
        <v>SaO2</v>
      </c>
      <c r="AE18" s="5" t="str">
        <f t="shared" si="9"/>
        <v>SaO2</v>
      </c>
      <c r="AF18" s="5" t="str">
        <f t="shared" si="9"/>
        <v>SaO2</v>
      </c>
      <c r="AG18" s="5">
        <f t="shared" si="9"/>
        <v>0</v>
      </c>
      <c r="AH18" s="5">
        <f t="shared" si="9"/>
        <v>0</v>
      </c>
      <c r="AI18" s="5">
        <f t="shared" si="9"/>
        <v>0</v>
      </c>
      <c r="AJ18" s="5">
        <f t="shared" si="9"/>
        <v>0</v>
      </c>
      <c r="AK18" s="5">
        <f t="shared" si="9"/>
        <v>0</v>
      </c>
      <c r="AL18" s="5">
        <f t="shared" si="9"/>
        <v>0</v>
      </c>
      <c r="AM18" s="5">
        <f t="shared" si="9"/>
        <v>0</v>
      </c>
      <c r="AN18" s="5">
        <f t="shared" si="9"/>
        <v>0</v>
      </c>
      <c r="AO18" s="5">
        <f t="shared" si="9"/>
        <v>0</v>
      </c>
      <c r="AP18" s="5">
        <f t="shared" si="9"/>
        <v>0</v>
      </c>
      <c r="AQ18" s="5">
        <f t="shared" si="9"/>
        <v>0</v>
      </c>
      <c r="AR18" s="5">
        <f t="shared" si="9"/>
        <v>0</v>
      </c>
      <c r="AS18" s="5">
        <f t="shared" si="9"/>
        <v>0</v>
      </c>
      <c r="AT18" s="5">
        <f t="shared" si="9"/>
        <v>0</v>
      </c>
      <c r="AU18" s="5">
        <f t="shared" si="9"/>
        <v>0</v>
      </c>
      <c r="AV18" s="5">
        <f t="shared" si="9"/>
        <v>0</v>
      </c>
      <c r="AW18" s="5">
        <f t="shared" si="9"/>
        <v>0</v>
      </c>
      <c r="AX18" s="5">
        <f t="shared" si="9"/>
        <v>0</v>
      </c>
      <c r="AY18" s="5">
        <f t="shared" si="9"/>
        <v>0</v>
      </c>
    </row>
    <row r="19" spans="1:51" x14ac:dyDescent="0.2">
      <c r="A19" t="s">
        <v>672</v>
      </c>
      <c r="B19" t="s">
        <v>671</v>
      </c>
      <c r="C19" t="s">
        <v>575</v>
      </c>
      <c r="D19" s="7" t="s">
        <v>719</v>
      </c>
      <c r="E19" s="10"/>
      <c r="F19" s="19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x14ac:dyDescent="0.2">
      <c r="A20" t="s">
        <v>661</v>
      </c>
      <c r="B20" t="s">
        <v>670</v>
      </c>
      <c r="D20" s="7" t="s">
        <v>720</v>
      </c>
      <c r="E20" s="10"/>
      <c r="F20" s="19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</row>
    <row r="21" spans="1:51" x14ac:dyDescent="0.2">
      <c r="E21" s="10"/>
      <c r="F21" s="17"/>
    </row>
    <row r="22" spans="1:51" x14ac:dyDescent="0.2">
      <c r="A22" t="s">
        <v>662</v>
      </c>
      <c r="B22" t="s">
        <v>670</v>
      </c>
      <c r="D22" s="7" t="s">
        <v>718</v>
      </c>
      <c r="E22" s="10"/>
      <c r="F22" s="18"/>
      <c r="G22" s="13" t="s">
        <v>634</v>
      </c>
      <c r="H22" s="13" t="str">
        <f>G22</f>
        <v>AorticPressure</v>
      </c>
      <c r="I22" s="13" t="s">
        <v>760</v>
      </c>
      <c r="J22" s="13" t="s">
        <v>760</v>
      </c>
      <c r="K22" s="13" t="s">
        <v>760</v>
      </c>
      <c r="L22" s="13" t="s">
        <v>760</v>
      </c>
      <c r="M22" s="13" t="s">
        <v>777</v>
      </c>
      <c r="N22" s="13" t="s">
        <v>777</v>
      </c>
      <c r="O22" s="13" t="s">
        <v>793</v>
      </c>
      <c r="P22" s="13" t="s">
        <v>793</v>
      </c>
      <c r="Q22" s="13" t="s">
        <v>795</v>
      </c>
      <c r="R22" s="13"/>
      <c r="S22" s="13"/>
      <c r="T22" s="13"/>
      <c r="U22" s="13"/>
      <c r="V22" s="13"/>
      <c r="W22" s="13"/>
      <c r="X22" s="13"/>
      <c r="Y22" s="13"/>
      <c r="Z22" s="13"/>
      <c r="AA22" s="13" t="s">
        <v>718</v>
      </c>
      <c r="AB22" s="13" t="s">
        <v>718</v>
      </c>
      <c r="AC22" s="13" t="s">
        <v>718</v>
      </c>
      <c r="AD22" s="13" t="s">
        <v>718</v>
      </c>
      <c r="AE22" s="13" t="s">
        <v>718</v>
      </c>
      <c r="AF22" s="13" t="s">
        <v>718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1:51" x14ac:dyDescent="0.2">
      <c r="A23" t="s">
        <v>675</v>
      </c>
      <c r="B23" t="s">
        <v>671</v>
      </c>
      <c r="C23" t="s">
        <v>575</v>
      </c>
      <c r="D23" s="7" t="s">
        <v>717</v>
      </c>
      <c r="E23" s="10"/>
      <c r="F23" s="15">
        <f>F17</f>
        <v>0</v>
      </c>
      <c r="G23" s="5" t="str">
        <f t="shared" ref="G23:AY23" si="10">G17</f>
        <v>Systemic pressure</v>
      </c>
      <c r="H23" s="5" t="str">
        <f t="shared" si="10"/>
        <v>Systemic pressure</v>
      </c>
      <c r="I23" s="5" t="str">
        <f t="shared" si="10"/>
        <v>Systemic pressure</v>
      </c>
      <c r="J23" s="5" t="str">
        <f t="shared" si="10"/>
        <v>Systemic pressure</v>
      </c>
      <c r="K23" s="5" t="str">
        <f t="shared" si="10"/>
        <v>Systemic pressure</v>
      </c>
      <c r="L23" s="5" t="str">
        <f t="shared" si="10"/>
        <v>Systemic pressure</v>
      </c>
      <c r="M23" s="5" t="str">
        <f t="shared" si="10"/>
        <v>Pulmonary Ventilation</v>
      </c>
      <c r="N23" s="5" t="str">
        <f t="shared" si="10"/>
        <v>Pulmonary Ventilation</v>
      </c>
      <c r="O23" s="5" t="str">
        <f t="shared" si="10"/>
        <v>Systemic perfusion</v>
      </c>
      <c r="P23" s="5" t="str">
        <f t="shared" si="10"/>
        <v>Systemic perfusion</v>
      </c>
      <c r="Q23" s="5" t="str">
        <f t="shared" si="10"/>
        <v>VenousReturn</v>
      </c>
      <c r="R23" s="5">
        <f t="shared" si="10"/>
        <v>0</v>
      </c>
      <c r="S23" s="5">
        <f t="shared" si="10"/>
        <v>0</v>
      </c>
      <c r="T23" s="5">
        <f t="shared" si="10"/>
        <v>0</v>
      </c>
      <c r="U23" s="5">
        <f t="shared" si="10"/>
        <v>0</v>
      </c>
      <c r="V23" s="5">
        <f t="shared" si="10"/>
        <v>0</v>
      </c>
      <c r="W23" s="5">
        <f t="shared" si="10"/>
        <v>0</v>
      </c>
      <c r="X23" s="5">
        <f t="shared" si="10"/>
        <v>0</v>
      </c>
      <c r="Y23" s="5">
        <f t="shared" si="10"/>
        <v>0</v>
      </c>
      <c r="Z23" s="5">
        <f t="shared" si="10"/>
        <v>0</v>
      </c>
      <c r="AA23" s="5" t="str">
        <f t="shared" si="10"/>
        <v>pulm_oxygenation</v>
      </c>
      <c r="AB23" s="5" t="str">
        <f t="shared" si="10"/>
        <v>pulm_oxygenation</v>
      </c>
      <c r="AC23" s="5" t="str">
        <f t="shared" si="10"/>
        <v>pulm_oxygenation</v>
      </c>
      <c r="AD23" s="5" t="str">
        <f t="shared" si="10"/>
        <v>pulm_oxygenation</v>
      </c>
      <c r="AE23" s="5" t="str">
        <f t="shared" si="10"/>
        <v>pulm_oxygenation</v>
      </c>
      <c r="AF23" s="5" t="str">
        <f t="shared" si="10"/>
        <v>pulm_oxygenation</v>
      </c>
      <c r="AG23" s="5">
        <f t="shared" si="10"/>
        <v>0</v>
      </c>
      <c r="AH23" s="5">
        <f t="shared" si="10"/>
        <v>0</v>
      </c>
      <c r="AI23" s="5">
        <f t="shared" si="10"/>
        <v>0</v>
      </c>
      <c r="AJ23" s="5">
        <f t="shared" si="10"/>
        <v>0</v>
      </c>
      <c r="AK23" s="5">
        <f t="shared" si="10"/>
        <v>0</v>
      </c>
      <c r="AL23" s="5">
        <f t="shared" si="10"/>
        <v>0</v>
      </c>
      <c r="AM23" s="5">
        <f t="shared" si="10"/>
        <v>0</v>
      </c>
      <c r="AN23" s="5">
        <f t="shared" si="10"/>
        <v>0</v>
      </c>
      <c r="AO23" s="5">
        <f t="shared" si="10"/>
        <v>0</v>
      </c>
      <c r="AP23" s="5">
        <f t="shared" si="10"/>
        <v>0</v>
      </c>
      <c r="AQ23" s="5">
        <f t="shared" si="10"/>
        <v>0</v>
      </c>
      <c r="AR23" s="5">
        <f t="shared" si="10"/>
        <v>0</v>
      </c>
      <c r="AS23" s="5">
        <f t="shared" si="10"/>
        <v>0</v>
      </c>
      <c r="AT23" s="5">
        <f t="shared" si="10"/>
        <v>0</v>
      </c>
      <c r="AU23" s="5">
        <f t="shared" si="10"/>
        <v>0</v>
      </c>
      <c r="AV23" s="5">
        <f t="shared" si="10"/>
        <v>0</v>
      </c>
      <c r="AW23" s="5">
        <f t="shared" si="10"/>
        <v>0</v>
      </c>
      <c r="AX23" s="5">
        <f t="shared" si="10"/>
        <v>0</v>
      </c>
      <c r="AY23" s="5">
        <f t="shared" si="10"/>
        <v>0</v>
      </c>
    </row>
    <row r="24" spans="1:51" x14ac:dyDescent="0.2">
      <c r="A24" t="s">
        <v>673</v>
      </c>
      <c r="B24" t="s">
        <v>670</v>
      </c>
      <c r="D24" s="7" t="s">
        <v>715</v>
      </c>
      <c r="E24" s="10"/>
      <c r="F24" s="19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x14ac:dyDescent="0.2">
      <c r="A25" t="s">
        <v>663</v>
      </c>
      <c r="B25" t="s">
        <v>670</v>
      </c>
      <c r="D25" s="7" t="s">
        <v>721</v>
      </c>
      <c r="E25" s="10"/>
      <c r="F25" s="19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x14ac:dyDescent="0.2">
      <c r="A26" t="s">
        <v>664</v>
      </c>
      <c r="B26" t="s">
        <v>671</v>
      </c>
      <c r="C26" t="s">
        <v>580</v>
      </c>
      <c r="D26" s="7" t="s">
        <v>722</v>
      </c>
      <c r="E26" s="10"/>
      <c r="F26" s="15">
        <f>F28</f>
        <v>0</v>
      </c>
      <c r="G26" s="5" t="str">
        <f t="shared" ref="G26:AY26" si="11">G28</f>
        <v>AorticPressure_Metric</v>
      </c>
      <c r="H26" s="5" t="str">
        <f t="shared" si="11"/>
        <v>AorticPressure_Metric</v>
      </c>
      <c r="I26" s="5" t="str">
        <f t="shared" si="11"/>
        <v>AorticPressure_Metric</v>
      </c>
      <c r="J26" s="5" t="str">
        <f t="shared" si="11"/>
        <v>AorticPressure_Metric</v>
      </c>
      <c r="K26" s="5" t="str">
        <f t="shared" si="11"/>
        <v>AorticPressure_Metric</v>
      </c>
      <c r="L26" s="5" t="str">
        <f t="shared" si="11"/>
        <v>AorticPressure_Metric</v>
      </c>
      <c r="M26" s="5" t="str">
        <f t="shared" si="11"/>
        <v>Airway_RespiratoryRate_Metric</v>
      </c>
      <c r="N26" s="5" t="str">
        <f t="shared" si="11"/>
        <v>Airway_RespiratoryRate_Metric</v>
      </c>
      <c r="O26" s="5" t="str">
        <f t="shared" si="11"/>
        <v>CerebralPerfusion_Metric</v>
      </c>
      <c r="P26" s="5" t="str">
        <f t="shared" si="11"/>
        <v>CerebralPerfusion_Metric</v>
      </c>
      <c r="Q26" s="5" t="str">
        <f t="shared" si="11"/>
        <v>CVD_metric</v>
      </c>
      <c r="R26" s="5">
        <f t="shared" si="11"/>
        <v>0</v>
      </c>
      <c r="S26" s="5">
        <f t="shared" si="11"/>
        <v>0</v>
      </c>
      <c r="T26" s="5">
        <f t="shared" si="11"/>
        <v>0</v>
      </c>
      <c r="U26" s="5">
        <f t="shared" si="11"/>
        <v>0</v>
      </c>
      <c r="V26" s="5">
        <f t="shared" si="11"/>
        <v>0</v>
      </c>
      <c r="W26" s="5">
        <f t="shared" si="11"/>
        <v>0</v>
      </c>
      <c r="X26" s="5">
        <f t="shared" si="11"/>
        <v>0</v>
      </c>
      <c r="Y26" s="5">
        <f t="shared" si="11"/>
        <v>0</v>
      </c>
      <c r="Z26" s="5">
        <f t="shared" si="11"/>
        <v>0</v>
      </c>
      <c r="AA26" s="5" t="str">
        <f t="shared" si="11"/>
        <v>SpO2_metric</v>
      </c>
      <c r="AB26" s="5" t="str">
        <f t="shared" si="11"/>
        <v>SpO2_metric</v>
      </c>
      <c r="AC26" s="5" t="str">
        <f t="shared" si="11"/>
        <v>SpO2_metric</v>
      </c>
      <c r="AD26" s="5" t="str">
        <f t="shared" si="11"/>
        <v>SpO2_metric</v>
      </c>
      <c r="AE26" s="5" t="str">
        <f t="shared" si="11"/>
        <v>SpO2_metric</v>
      </c>
      <c r="AF26" s="5" t="str">
        <f t="shared" si="11"/>
        <v>SpO2_metric</v>
      </c>
      <c r="AG26" s="5">
        <f t="shared" si="11"/>
        <v>0</v>
      </c>
      <c r="AH26" s="5">
        <f t="shared" si="11"/>
        <v>0</v>
      </c>
      <c r="AI26" s="5">
        <f t="shared" si="11"/>
        <v>0</v>
      </c>
      <c r="AJ26" s="5">
        <f t="shared" si="11"/>
        <v>0</v>
      </c>
      <c r="AK26" s="5">
        <f t="shared" si="11"/>
        <v>0</v>
      </c>
      <c r="AL26" s="5">
        <f t="shared" si="11"/>
        <v>0</v>
      </c>
      <c r="AM26" s="5">
        <f t="shared" si="11"/>
        <v>0</v>
      </c>
      <c r="AN26" s="5">
        <f t="shared" si="11"/>
        <v>0</v>
      </c>
      <c r="AO26" s="5">
        <f t="shared" si="11"/>
        <v>0</v>
      </c>
      <c r="AP26" s="5">
        <f t="shared" si="11"/>
        <v>0</v>
      </c>
      <c r="AQ26" s="5">
        <f t="shared" si="11"/>
        <v>0</v>
      </c>
      <c r="AR26" s="5">
        <f t="shared" si="11"/>
        <v>0</v>
      </c>
      <c r="AS26" s="5">
        <f t="shared" si="11"/>
        <v>0</v>
      </c>
      <c r="AT26" s="5">
        <f t="shared" si="11"/>
        <v>0</v>
      </c>
      <c r="AU26" s="5">
        <f t="shared" si="11"/>
        <v>0</v>
      </c>
      <c r="AV26" s="5">
        <f t="shared" si="11"/>
        <v>0</v>
      </c>
      <c r="AW26" s="5">
        <f t="shared" si="11"/>
        <v>0</v>
      </c>
      <c r="AX26" s="5">
        <f t="shared" si="11"/>
        <v>0</v>
      </c>
      <c r="AY26" s="5">
        <f t="shared" si="11"/>
        <v>0</v>
      </c>
    </row>
    <row r="27" spans="1:51" x14ac:dyDescent="0.2">
      <c r="E27" s="10"/>
      <c r="F27" s="17"/>
    </row>
    <row r="28" spans="1:51" x14ac:dyDescent="0.2">
      <c r="A28" t="s">
        <v>665</v>
      </c>
      <c r="B28" t="s">
        <v>670</v>
      </c>
      <c r="D28" s="7" t="s">
        <v>636</v>
      </c>
      <c r="E28" s="10"/>
      <c r="F28" s="18"/>
      <c r="G28" s="13" t="s">
        <v>757</v>
      </c>
      <c r="H28" s="13" t="s">
        <v>757</v>
      </c>
      <c r="I28" s="13" t="s">
        <v>757</v>
      </c>
      <c r="J28" s="13" t="s">
        <v>757</v>
      </c>
      <c r="K28" s="13" t="s">
        <v>757</v>
      </c>
      <c r="L28" s="13" t="s">
        <v>757</v>
      </c>
      <c r="M28" s="13" t="s">
        <v>778</v>
      </c>
      <c r="N28" s="13" t="s">
        <v>778</v>
      </c>
      <c r="O28" s="13" t="s">
        <v>788</v>
      </c>
      <c r="P28" s="13" t="s">
        <v>788</v>
      </c>
      <c r="Q28" s="13" t="s">
        <v>796</v>
      </c>
      <c r="R28" s="13"/>
      <c r="S28" s="13"/>
      <c r="T28" s="13"/>
      <c r="U28" s="13"/>
      <c r="V28" s="13"/>
      <c r="W28" s="13"/>
      <c r="X28" s="13"/>
      <c r="Y28" s="13"/>
      <c r="Z28" s="13"/>
      <c r="AA28" s="13" t="s">
        <v>766</v>
      </c>
      <c r="AB28" s="13" t="s">
        <v>766</v>
      </c>
      <c r="AC28" s="13" t="s">
        <v>766</v>
      </c>
      <c r="AD28" s="13" t="s">
        <v>766</v>
      </c>
      <c r="AE28" s="13" t="s">
        <v>766</v>
      </c>
      <c r="AF28" s="13" t="s">
        <v>766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</row>
    <row r="29" spans="1:51" x14ac:dyDescent="0.2">
      <c r="A29" t="s">
        <v>666</v>
      </c>
      <c r="B29" t="s">
        <v>670</v>
      </c>
      <c r="D29" s="7" t="s">
        <v>724</v>
      </c>
      <c r="E29" s="10"/>
      <c r="F29" s="18"/>
      <c r="G29" s="13" t="s">
        <v>724</v>
      </c>
      <c r="H29" s="13" t="s">
        <v>724</v>
      </c>
      <c r="I29" s="13" t="s">
        <v>724</v>
      </c>
      <c r="J29" s="13" t="s">
        <v>724</v>
      </c>
      <c r="K29" s="13" t="s">
        <v>724</v>
      </c>
      <c r="L29" s="13" t="s">
        <v>724</v>
      </c>
      <c r="M29" s="13" t="s">
        <v>783</v>
      </c>
      <c r="N29" s="13" t="s">
        <v>783</v>
      </c>
      <c r="O29" s="13" t="s">
        <v>789</v>
      </c>
      <c r="P29" s="13" t="s">
        <v>789</v>
      </c>
      <c r="Q29" s="13" t="s">
        <v>797</v>
      </c>
      <c r="R29" s="13"/>
      <c r="S29" s="13"/>
      <c r="T29" s="13"/>
      <c r="U29" s="13"/>
      <c r="V29" s="13"/>
      <c r="W29" s="13"/>
      <c r="X29" s="13"/>
      <c r="Y29" s="13"/>
      <c r="Z29" s="13"/>
      <c r="AA29" s="13" t="s">
        <v>765</v>
      </c>
      <c r="AB29" s="13" t="s">
        <v>774</v>
      </c>
      <c r="AC29" s="13" t="s">
        <v>774</v>
      </c>
      <c r="AD29" s="13" t="s">
        <v>775</v>
      </c>
      <c r="AE29" s="13" t="s">
        <v>775</v>
      </c>
      <c r="AF29" s="13" t="s">
        <v>776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 spans="1:51" x14ac:dyDescent="0.2">
      <c r="A30" t="s">
        <v>669</v>
      </c>
      <c r="B30" t="s">
        <v>670</v>
      </c>
      <c r="D30" s="7" t="s">
        <v>725</v>
      </c>
      <c r="E30" s="10"/>
      <c r="F30" s="18"/>
      <c r="G30" s="13" t="s">
        <v>758</v>
      </c>
      <c r="H30" s="13" t="s">
        <v>758</v>
      </c>
      <c r="I30" s="13" t="s">
        <v>761</v>
      </c>
      <c r="J30" s="13" t="s">
        <v>761</v>
      </c>
      <c r="K30" s="13" t="s">
        <v>725</v>
      </c>
      <c r="L30" s="13" t="s">
        <v>725</v>
      </c>
      <c r="M30" s="13"/>
      <c r="N30" s="13"/>
      <c r="O30" s="13"/>
      <c r="P30" s="13"/>
      <c r="Q30" s="13" t="s">
        <v>798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 spans="1:51" x14ac:dyDescent="0.2">
      <c r="A31" t="s">
        <v>752</v>
      </c>
      <c r="B31" t="s">
        <v>671</v>
      </c>
      <c r="C31" t="s">
        <v>581</v>
      </c>
      <c r="D31" s="7" t="s">
        <v>726</v>
      </c>
      <c r="E31" s="10"/>
      <c r="F31" s="15">
        <f>F41</f>
        <v>0</v>
      </c>
      <c r="G31" s="5" t="str">
        <f t="shared" ref="G31:AY31" si="12">G41</f>
        <v>PressureWaveformAnalysis</v>
      </c>
      <c r="H31" s="5" t="str">
        <f t="shared" si="12"/>
        <v>PressureWaveformAnalysis</v>
      </c>
      <c r="I31" s="5" t="str">
        <f t="shared" si="12"/>
        <v>PressureWaveformAnalysis</v>
      </c>
      <c r="J31" s="5" t="str">
        <f t="shared" si="12"/>
        <v>PressureWaveformAnalysis</v>
      </c>
      <c r="K31" s="5" t="str">
        <f t="shared" si="12"/>
        <v>PressureWaveformAnalysis</v>
      </c>
      <c r="L31" s="5" t="str">
        <f t="shared" si="12"/>
        <v>PressureWaveformAnalysis</v>
      </c>
      <c r="M31" s="5" t="str">
        <f t="shared" si="12"/>
        <v>RF_CO2_WaveformAnalysis</v>
      </c>
      <c r="N31" s="5" t="str">
        <f t="shared" si="12"/>
        <v>RF_CO2_WaveformAnalysis</v>
      </c>
      <c r="O31" s="5" t="str">
        <f t="shared" si="12"/>
        <v>CPP_Computation</v>
      </c>
      <c r="P31" s="5" t="str">
        <f t="shared" si="12"/>
        <v>CPP_Computation</v>
      </c>
      <c r="Q31" s="5" t="str">
        <f t="shared" si="12"/>
        <v>VenousPressure_process</v>
      </c>
      <c r="R31" s="5">
        <f t="shared" si="12"/>
        <v>0</v>
      </c>
      <c r="S31" s="5">
        <f t="shared" si="12"/>
        <v>0</v>
      </c>
      <c r="T31" s="5">
        <f t="shared" si="12"/>
        <v>0</v>
      </c>
      <c r="U31" s="5">
        <f t="shared" si="12"/>
        <v>0</v>
      </c>
      <c r="V31" s="5">
        <f t="shared" si="12"/>
        <v>0</v>
      </c>
      <c r="W31" s="5">
        <f t="shared" si="12"/>
        <v>0</v>
      </c>
      <c r="X31" s="5">
        <f t="shared" si="12"/>
        <v>0</v>
      </c>
      <c r="Y31" s="5">
        <f t="shared" si="12"/>
        <v>0</v>
      </c>
      <c r="Z31" s="5">
        <f t="shared" si="12"/>
        <v>0</v>
      </c>
      <c r="AA31" s="5" t="str">
        <f t="shared" si="12"/>
        <v>SpO2_analysis</v>
      </c>
      <c r="AB31" s="5" t="str">
        <f t="shared" si="12"/>
        <v>SpO2_analysis</v>
      </c>
      <c r="AC31" s="5" t="str">
        <f t="shared" si="12"/>
        <v>SpO2_analysis</v>
      </c>
      <c r="AD31" s="5" t="str">
        <f t="shared" si="12"/>
        <v>SpO2_analysis</v>
      </c>
      <c r="AE31" s="5" t="str">
        <f t="shared" si="12"/>
        <v>SpO2_analysis</v>
      </c>
      <c r="AF31" s="5" t="str">
        <f t="shared" si="12"/>
        <v>SpO2_analysis</v>
      </c>
      <c r="AG31" s="5">
        <f t="shared" si="12"/>
        <v>0</v>
      </c>
      <c r="AH31" s="5">
        <f t="shared" si="12"/>
        <v>0</v>
      </c>
      <c r="AI31" s="5">
        <f t="shared" si="12"/>
        <v>0</v>
      </c>
      <c r="AJ31" s="5">
        <f t="shared" si="12"/>
        <v>0</v>
      </c>
      <c r="AK31" s="5">
        <f t="shared" si="12"/>
        <v>0</v>
      </c>
      <c r="AL31" s="5">
        <f t="shared" si="12"/>
        <v>0</v>
      </c>
      <c r="AM31" s="5">
        <f t="shared" si="12"/>
        <v>0</v>
      </c>
      <c r="AN31" s="5">
        <f t="shared" si="12"/>
        <v>0</v>
      </c>
      <c r="AO31" s="5">
        <f t="shared" si="12"/>
        <v>0</v>
      </c>
      <c r="AP31" s="5">
        <f t="shared" si="12"/>
        <v>0</v>
      </c>
      <c r="AQ31" s="5">
        <f t="shared" si="12"/>
        <v>0</v>
      </c>
      <c r="AR31" s="5">
        <f t="shared" si="12"/>
        <v>0</v>
      </c>
      <c r="AS31" s="5">
        <f t="shared" si="12"/>
        <v>0</v>
      </c>
      <c r="AT31" s="5">
        <f t="shared" si="12"/>
        <v>0</v>
      </c>
      <c r="AU31" s="5">
        <f t="shared" si="12"/>
        <v>0</v>
      </c>
      <c r="AV31" s="5">
        <f t="shared" si="12"/>
        <v>0</v>
      </c>
      <c r="AW31" s="5">
        <f t="shared" si="12"/>
        <v>0</v>
      </c>
      <c r="AX31" s="5">
        <f t="shared" si="12"/>
        <v>0</v>
      </c>
      <c r="AY31" s="5">
        <f t="shared" si="12"/>
        <v>0</v>
      </c>
    </row>
    <row r="32" spans="1:51" x14ac:dyDescent="0.2">
      <c r="A32" t="s">
        <v>667</v>
      </c>
      <c r="B32" t="s">
        <v>671</v>
      </c>
      <c r="C32" t="s">
        <v>576</v>
      </c>
      <c r="D32" s="7" t="s">
        <v>727</v>
      </c>
      <c r="E32" s="10"/>
      <c r="F32" s="15">
        <f>F22</f>
        <v>0</v>
      </c>
      <c r="G32" s="5" t="str">
        <f t="shared" ref="G32:AY32" si="13">G22</f>
        <v>AorticPressure</v>
      </c>
      <c r="H32" s="5" t="str">
        <f t="shared" si="13"/>
        <v>AorticPressure</v>
      </c>
      <c r="I32" s="5" t="str">
        <f t="shared" si="13"/>
        <v>Aortic pressure</v>
      </c>
      <c r="J32" s="5" t="str">
        <f t="shared" si="13"/>
        <v>Aortic pressure</v>
      </c>
      <c r="K32" s="5" t="str">
        <f t="shared" si="13"/>
        <v>Aortic pressure</v>
      </c>
      <c r="L32" s="5" t="str">
        <f t="shared" si="13"/>
        <v>Aortic pressure</v>
      </c>
      <c r="M32" s="5" t="str">
        <f t="shared" si="13"/>
        <v>Respiratory Rate</v>
      </c>
      <c r="N32" s="5" t="str">
        <f t="shared" si="13"/>
        <v>Respiratory Rate</v>
      </c>
      <c r="O32" s="5" t="str">
        <f t="shared" si="13"/>
        <v>CerebralPerfusionPressure</v>
      </c>
      <c r="P32" s="5" t="str">
        <f t="shared" si="13"/>
        <v>CerebralPerfusionPressure</v>
      </c>
      <c r="Q32" s="5" t="str">
        <f t="shared" si="13"/>
        <v>CentralVenousPressure_Property</v>
      </c>
      <c r="R32" s="5">
        <f t="shared" si="13"/>
        <v>0</v>
      </c>
      <c r="S32" s="5">
        <f t="shared" si="13"/>
        <v>0</v>
      </c>
      <c r="T32" s="5">
        <f t="shared" si="13"/>
        <v>0</v>
      </c>
      <c r="U32" s="5">
        <f t="shared" si="13"/>
        <v>0</v>
      </c>
      <c r="V32" s="5">
        <f t="shared" si="13"/>
        <v>0</v>
      </c>
      <c r="W32" s="5">
        <f t="shared" si="13"/>
        <v>0</v>
      </c>
      <c r="X32" s="5">
        <f t="shared" si="13"/>
        <v>0</v>
      </c>
      <c r="Y32" s="5">
        <f t="shared" si="13"/>
        <v>0</v>
      </c>
      <c r="Z32" s="5">
        <f t="shared" si="13"/>
        <v>0</v>
      </c>
      <c r="AA32" s="5" t="str">
        <f t="shared" si="13"/>
        <v>SaO2</v>
      </c>
      <c r="AB32" s="5" t="str">
        <f t="shared" si="13"/>
        <v>SaO2</v>
      </c>
      <c r="AC32" s="5" t="str">
        <f t="shared" si="13"/>
        <v>SaO2</v>
      </c>
      <c r="AD32" s="5" t="str">
        <f t="shared" si="13"/>
        <v>SaO2</v>
      </c>
      <c r="AE32" s="5" t="str">
        <f t="shared" si="13"/>
        <v>SaO2</v>
      </c>
      <c r="AF32" s="5" t="str">
        <f t="shared" si="13"/>
        <v>SaO2</v>
      </c>
      <c r="AG32" s="5">
        <f t="shared" si="13"/>
        <v>0</v>
      </c>
      <c r="AH32" s="5">
        <f t="shared" si="13"/>
        <v>0</v>
      </c>
      <c r="AI32" s="5">
        <f t="shared" si="13"/>
        <v>0</v>
      </c>
      <c r="AJ32" s="5">
        <f t="shared" si="13"/>
        <v>0</v>
      </c>
      <c r="AK32" s="5">
        <f t="shared" si="13"/>
        <v>0</v>
      </c>
      <c r="AL32" s="5">
        <f t="shared" si="13"/>
        <v>0</v>
      </c>
      <c r="AM32" s="5">
        <f t="shared" si="13"/>
        <v>0</v>
      </c>
      <c r="AN32" s="5">
        <f t="shared" si="13"/>
        <v>0</v>
      </c>
      <c r="AO32" s="5">
        <f t="shared" si="13"/>
        <v>0</v>
      </c>
      <c r="AP32" s="5">
        <f t="shared" si="13"/>
        <v>0</v>
      </c>
      <c r="AQ32" s="5">
        <f t="shared" si="13"/>
        <v>0</v>
      </c>
      <c r="AR32" s="5">
        <f t="shared" si="13"/>
        <v>0</v>
      </c>
      <c r="AS32" s="5">
        <f t="shared" si="13"/>
        <v>0</v>
      </c>
      <c r="AT32" s="5">
        <f t="shared" si="13"/>
        <v>0</v>
      </c>
      <c r="AU32" s="5">
        <f t="shared" si="13"/>
        <v>0</v>
      </c>
      <c r="AV32" s="5">
        <f t="shared" si="13"/>
        <v>0</v>
      </c>
      <c r="AW32" s="5">
        <f t="shared" si="13"/>
        <v>0</v>
      </c>
      <c r="AX32" s="5">
        <f t="shared" si="13"/>
        <v>0</v>
      </c>
      <c r="AY32" s="5">
        <f t="shared" si="13"/>
        <v>0</v>
      </c>
    </row>
    <row r="33" spans="1:51" x14ac:dyDescent="0.2">
      <c r="A33" t="s">
        <v>668</v>
      </c>
      <c r="B33" t="s">
        <v>670</v>
      </c>
      <c r="D33" s="12" t="s">
        <v>748</v>
      </c>
      <c r="E33" s="10"/>
      <c r="F33" s="18"/>
      <c r="G33" s="13"/>
      <c r="H33" s="13"/>
      <c r="I33" s="13" t="s">
        <v>728</v>
      </c>
      <c r="J33" s="13" t="s">
        <v>764</v>
      </c>
      <c r="K33" s="13" t="s">
        <v>728</v>
      </c>
      <c r="L33" s="13" t="s">
        <v>764</v>
      </c>
      <c r="M33" s="13" t="s">
        <v>40</v>
      </c>
      <c r="N33" s="13" t="s">
        <v>764</v>
      </c>
      <c r="O33" s="13" t="s">
        <v>40</v>
      </c>
      <c r="P33" s="13" t="s">
        <v>18</v>
      </c>
      <c r="Q33" s="13" t="s">
        <v>18</v>
      </c>
      <c r="R33" s="13"/>
      <c r="S33" s="13"/>
      <c r="T33" s="13"/>
      <c r="U33" s="13"/>
      <c r="V33" s="13"/>
      <c r="W33" s="13"/>
      <c r="X33" s="13"/>
      <c r="Y33" s="13"/>
      <c r="Z33" s="13"/>
      <c r="AA33" s="13" t="s">
        <v>40</v>
      </c>
      <c r="AB33" s="13" t="s">
        <v>40</v>
      </c>
      <c r="AC33" s="13" t="s">
        <v>18</v>
      </c>
      <c r="AD33" s="13" t="s">
        <v>40</v>
      </c>
      <c r="AE33" s="13" t="s">
        <v>18</v>
      </c>
      <c r="AF33" s="13" t="s">
        <v>40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 spans="1:51" x14ac:dyDescent="0.2">
      <c r="E34" s="10"/>
      <c r="F34" s="17"/>
    </row>
    <row r="35" spans="1:51" x14ac:dyDescent="0.2">
      <c r="A35" t="s">
        <v>676</v>
      </c>
      <c r="B35" t="s">
        <v>670</v>
      </c>
      <c r="D35" s="7" t="s">
        <v>729</v>
      </c>
      <c r="E35" s="10"/>
      <c r="F35" s="18"/>
      <c r="G35" s="13" t="s">
        <v>746</v>
      </c>
      <c r="H35" s="13" t="s">
        <v>746</v>
      </c>
      <c r="I35" s="13" t="s">
        <v>746</v>
      </c>
      <c r="J35" s="13"/>
      <c r="K35" s="13"/>
      <c r="L35" s="13"/>
      <c r="M35" s="13"/>
      <c r="N35" s="13"/>
      <c r="O35" s="13" t="s">
        <v>784</v>
      </c>
      <c r="P35" s="13" t="s">
        <v>784</v>
      </c>
      <c r="Q35" s="13" t="s">
        <v>799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1:51" x14ac:dyDescent="0.2">
      <c r="A36" t="s">
        <v>677</v>
      </c>
      <c r="B36" t="s">
        <v>670</v>
      </c>
      <c r="D36" s="7" t="s">
        <v>730</v>
      </c>
      <c r="E36" s="10"/>
      <c r="F36" s="19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</row>
    <row r="37" spans="1:51" x14ac:dyDescent="0.2">
      <c r="A37" t="s">
        <v>678</v>
      </c>
      <c r="B37" t="s">
        <v>670</v>
      </c>
      <c r="D37" s="7" t="s">
        <v>731</v>
      </c>
      <c r="E37" s="10"/>
      <c r="F37" s="19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</row>
    <row r="38" spans="1:51" x14ac:dyDescent="0.2">
      <c r="A38" t="s">
        <v>679</v>
      </c>
      <c r="B38" t="s">
        <v>671</v>
      </c>
      <c r="C38" t="s">
        <v>578</v>
      </c>
      <c r="D38" s="7" t="s">
        <v>732</v>
      </c>
      <c r="E38" s="10"/>
      <c r="F38" s="15">
        <f>F65</f>
        <v>0</v>
      </c>
      <c r="G38" s="5" t="str">
        <f t="shared" ref="G38:AY38" si="14">G65</f>
        <v>InvasivePressureModule</v>
      </c>
      <c r="H38" s="5" t="str">
        <f t="shared" si="14"/>
        <v>InvasivePressureModule</v>
      </c>
      <c r="I38" s="5" t="str">
        <f t="shared" si="14"/>
        <v>InvasivePressureModule</v>
      </c>
      <c r="J38" s="5" t="str">
        <f t="shared" si="14"/>
        <v>InvasivePressureModule</v>
      </c>
      <c r="K38" s="5" t="str">
        <f t="shared" si="14"/>
        <v>InvasivePressureModule</v>
      </c>
      <c r="L38" s="5" t="str">
        <f t="shared" si="14"/>
        <v>InvasivePressureModule</v>
      </c>
      <c r="M38" s="5" t="str">
        <f t="shared" si="14"/>
        <v>Capno_Module</v>
      </c>
      <c r="N38" s="5" t="str">
        <f t="shared" si="14"/>
        <v>Capno_Module</v>
      </c>
      <c r="O38" s="5" t="str">
        <f t="shared" si="14"/>
        <v>HemodynamicsModule</v>
      </c>
      <c r="P38" s="5" t="str">
        <f t="shared" si="14"/>
        <v>HemodynamicsModule</v>
      </c>
      <c r="Q38" s="5">
        <f t="shared" si="14"/>
        <v>0</v>
      </c>
      <c r="R38" s="5">
        <f t="shared" si="14"/>
        <v>0</v>
      </c>
      <c r="S38" s="5">
        <f t="shared" si="14"/>
        <v>0</v>
      </c>
      <c r="T38" s="5">
        <f t="shared" si="14"/>
        <v>0</v>
      </c>
      <c r="U38" s="5">
        <f t="shared" si="14"/>
        <v>0</v>
      </c>
      <c r="V38" s="5">
        <f t="shared" si="14"/>
        <v>0</v>
      </c>
      <c r="W38" s="5">
        <f t="shared" si="14"/>
        <v>0</v>
      </c>
      <c r="X38" s="5">
        <f t="shared" si="14"/>
        <v>0</v>
      </c>
      <c r="Y38" s="5">
        <f t="shared" si="14"/>
        <v>0</v>
      </c>
      <c r="Z38" s="5">
        <f t="shared" si="14"/>
        <v>0</v>
      </c>
      <c r="AA38" s="5" t="str">
        <f t="shared" si="14"/>
        <v>PulseOximetryModule</v>
      </c>
      <c r="AB38" s="5" t="str">
        <f t="shared" si="14"/>
        <v>PulseOximetryModule</v>
      </c>
      <c r="AC38" s="5" t="str">
        <f t="shared" si="14"/>
        <v>PulseOximetryModule</v>
      </c>
      <c r="AD38" s="5" t="str">
        <f t="shared" si="14"/>
        <v>PulseOximetryModule</v>
      </c>
      <c r="AE38" s="5" t="str">
        <f t="shared" si="14"/>
        <v>PulseOximetryModule</v>
      </c>
      <c r="AF38" s="5" t="str">
        <f t="shared" si="14"/>
        <v>PulseOximetryModule</v>
      </c>
      <c r="AG38" s="5">
        <f t="shared" si="14"/>
        <v>0</v>
      </c>
      <c r="AH38" s="5">
        <f t="shared" si="14"/>
        <v>0</v>
      </c>
      <c r="AI38" s="5">
        <f t="shared" si="14"/>
        <v>0</v>
      </c>
      <c r="AJ38" s="5">
        <f t="shared" si="14"/>
        <v>0</v>
      </c>
      <c r="AK38" s="5">
        <f t="shared" si="14"/>
        <v>0</v>
      </c>
      <c r="AL38" s="5">
        <f t="shared" si="14"/>
        <v>0</v>
      </c>
      <c r="AM38" s="5">
        <f t="shared" si="14"/>
        <v>0</v>
      </c>
      <c r="AN38" s="5">
        <f t="shared" si="14"/>
        <v>0</v>
      </c>
      <c r="AO38" s="5">
        <f t="shared" si="14"/>
        <v>0</v>
      </c>
      <c r="AP38" s="5">
        <f t="shared" si="14"/>
        <v>0</v>
      </c>
      <c r="AQ38" s="5">
        <f t="shared" si="14"/>
        <v>0</v>
      </c>
      <c r="AR38" s="5">
        <f t="shared" si="14"/>
        <v>0</v>
      </c>
      <c r="AS38" s="5">
        <f t="shared" si="14"/>
        <v>0</v>
      </c>
      <c r="AT38" s="5">
        <f t="shared" si="14"/>
        <v>0</v>
      </c>
      <c r="AU38" s="5">
        <f t="shared" si="14"/>
        <v>0</v>
      </c>
      <c r="AV38" s="5">
        <f t="shared" si="14"/>
        <v>0</v>
      </c>
      <c r="AW38" s="5">
        <f t="shared" si="14"/>
        <v>0</v>
      </c>
      <c r="AX38" s="5">
        <f t="shared" si="14"/>
        <v>0</v>
      </c>
      <c r="AY38" s="5">
        <f t="shared" si="14"/>
        <v>0</v>
      </c>
    </row>
    <row r="39" spans="1:51" x14ac:dyDescent="0.2">
      <c r="A39" t="s">
        <v>680</v>
      </c>
      <c r="B39" t="s">
        <v>671</v>
      </c>
      <c r="C39" t="s">
        <v>580</v>
      </c>
      <c r="D39" s="7" t="s">
        <v>636</v>
      </c>
      <c r="E39" s="10"/>
      <c r="F39" s="15">
        <f>F28</f>
        <v>0</v>
      </c>
      <c r="G39" s="5" t="str">
        <f t="shared" ref="G39:AY39" si="15">G28</f>
        <v>AorticPressure_Metric</v>
      </c>
      <c r="H39" s="5" t="str">
        <f t="shared" si="15"/>
        <v>AorticPressure_Metric</v>
      </c>
      <c r="I39" s="5" t="str">
        <f t="shared" si="15"/>
        <v>AorticPressure_Metric</v>
      </c>
      <c r="J39" s="5" t="str">
        <f t="shared" si="15"/>
        <v>AorticPressure_Metric</v>
      </c>
      <c r="K39" s="5" t="str">
        <f t="shared" si="15"/>
        <v>AorticPressure_Metric</v>
      </c>
      <c r="L39" s="5" t="str">
        <f t="shared" si="15"/>
        <v>AorticPressure_Metric</v>
      </c>
      <c r="M39" s="5" t="str">
        <f t="shared" si="15"/>
        <v>Airway_RespiratoryRate_Metric</v>
      </c>
      <c r="N39" s="5" t="str">
        <f t="shared" si="15"/>
        <v>Airway_RespiratoryRate_Metric</v>
      </c>
      <c r="O39" s="5" t="str">
        <f t="shared" si="15"/>
        <v>CerebralPerfusion_Metric</v>
      </c>
      <c r="P39" s="5" t="str">
        <f t="shared" si="15"/>
        <v>CerebralPerfusion_Metric</v>
      </c>
      <c r="Q39" s="5" t="str">
        <f t="shared" si="15"/>
        <v>CVD_metric</v>
      </c>
      <c r="R39" s="5">
        <f t="shared" si="15"/>
        <v>0</v>
      </c>
      <c r="S39" s="5">
        <f t="shared" si="15"/>
        <v>0</v>
      </c>
      <c r="T39" s="5">
        <f t="shared" si="15"/>
        <v>0</v>
      </c>
      <c r="U39" s="5">
        <f t="shared" si="15"/>
        <v>0</v>
      </c>
      <c r="V39" s="5">
        <f t="shared" si="15"/>
        <v>0</v>
      </c>
      <c r="W39" s="5">
        <f t="shared" si="15"/>
        <v>0</v>
      </c>
      <c r="X39" s="5">
        <f t="shared" si="15"/>
        <v>0</v>
      </c>
      <c r="Y39" s="5">
        <f t="shared" si="15"/>
        <v>0</v>
      </c>
      <c r="Z39" s="5">
        <f t="shared" si="15"/>
        <v>0</v>
      </c>
      <c r="AA39" s="5" t="str">
        <f t="shared" si="15"/>
        <v>SpO2_metric</v>
      </c>
      <c r="AB39" s="5" t="str">
        <f t="shared" si="15"/>
        <v>SpO2_metric</v>
      </c>
      <c r="AC39" s="5" t="str">
        <f t="shared" si="15"/>
        <v>SpO2_metric</v>
      </c>
      <c r="AD39" s="5" t="str">
        <f t="shared" si="15"/>
        <v>SpO2_metric</v>
      </c>
      <c r="AE39" s="5" t="str">
        <f t="shared" si="15"/>
        <v>SpO2_metric</v>
      </c>
      <c r="AF39" s="5" t="str">
        <f t="shared" si="15"/>
        <v>SpO2_metric</v>
      </c>
      <c r="AG39" s="5">
        <f t="shared" si="15"/>
        <v>0</v>
      </c>
      <c r="AH39" s="5">
        <f t="shared" si="15"/>
        <v>0</v>
      </c>
      <c r="AI39" s="5">
        <f t="shared" si="15"/>
        <v>0</v>
      </c>
      <c r="AJ39" s="5">
        <f t="shared" si="15"/>
        <v>0</v>
      </c>
      <c r="AK39" s="5">
        <f t="shared" si="15"/>
        <v>0</v>
      </c>
      <c r="AL39" s="5">
        <f t="shared" si="15"/>
        <v>0</v>
      </c>
      <c r="AM39" s="5">
        <f t="shared" si="15"/>
        <v>0</v>
      </c>
      <c r="AN39" s="5">
        <f t="shared" si="15"/>
        <v>0</v>
      </c>
      <c r="AO39" s="5">
        <f t="shared" si="15"/>
        <v>0</v>
      </c>
      <c r="AP39" s="5">
        <f t="shared" si="15"/>
        <v>0</v>
      </c>
      <c r="AQ39" s="5">
        <f t="shared" si="15"/>
        <v>0</v>
      </c>
      <c r="AR39" s="5">
        <f t="shared" si="15"/>
        <v>0</v>
      </c>
      <c r="AS39" s="5">
        <f t="shared" si="15"/>
        <v>0</v>
      </c>
      <c r="AT39" s="5">
        <f t="shared" si="15"/>
        <v>0</v>
      </c>
      <c r="AU39" s="5">
        <f t="shared" si="15"/>
        <v>0</v>
      </c>
      <c r="AV39" s="5">
        <f t="shared" si="15"/>
        <v>0</v>
      </c>
      <c r="AW39" s="5">
        <f t="shared" si="15"/>
        <v>0</v>
      </c>
      <c r="AX39" s="5">
        <f t="shared" si="15"/>
        <v>0</v>
      </c>
      <c r="AY39" s="5">
        <f t="shared" si="15"/>
        <v>0</v>
      </c>
    </row>
    <row r="40" spans="1:51" x14ac:dyDescent="0.2">
      <c r="E40" s="10"/>
      <c r="F40" s="17"/>
    </row>
    <row r="41" spans="1:51" x14ac:dyDescent="0.2">
      <c r="A41" t="s">
        <v>681</v>
      </c>
      <c r="B41" t="s">
        <v>670</v>
      </c>
      <c r="D41" s="7" t="s">
        <v>733</v>
      </c>
      <c r="E41" s="10"/>
      <c r="F41" s="18"/>
      <c r="G41" s="13" t="s">
        <v>740</v>
      </c>
      <c r="H41" s="13" t="s">
        <v>740</v>
      </c>
      <c r="I41" s="13" t="s">
        <v>740</v>
      </c>
      <c r="J41" s="13" t="s">
        <v>740</v>
      </c>
      <c r="K41" s="13" t="s">
        <v>740</v>
      </c>
      <c r="L41" s="13" t="s">
        <v>740</v>
      </c>
      <c r="M41" s="13" t="s">
        <v>780</v>
      </c>
      <c r="N41" s="13" t="s">
        <v>780</v>
      </c>
      <c r="O41" s="13" t="s">
        <v>785</v>
      </c>
      <c r="P41" s="13" t="s">
        <v>785</v>
      </c>
      <c r="Q41" s="13" t="s">
        <v>800</v>
      </c>
      <c r="R41" s="13"/>
      <c r="S41" s="13"/>
      <c r="T41" s="13"/>
      <c r="U41" s="13"/>
      <c r="V41" s="13"/>
      <c r="W41" s="13"/>
      <c r="X41" s="13"/>
      <c r="Y41" s="13"/>
      <c r="Z41" s="13"/>
      <c r="AA41" s="13" t="s">
        <v>769</v>
      </c>
      <c r="AB41" s="13" t="s">
        <v>769</v>
      </c>
      <c r="AC41" s="13" t="s">
        <v>769</v>
      </c>
      <c r="AD41" s="13" t="s">
        <v>769</v>
      </c>
      <c r="AE41" s="13" t="s">
        <v>769</v>
      </c>
      <c r="AF41" s="13" t="s">
        <v>769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1:51" x14ac:dyDescent="0.2">
      <c r="A42" t="s">
        <v>803</v>
      </c>
      <c r="B42" t="s">
        <v>671</v>
      </c>
      <c r="D42" s="7" t="s">
        <v>804</v>
      </c>
      <c r="E42" s="10"/>
      <c r="F42" s="18"/>
      <c r="G42" s="13"/>
      <c r="H42" s="13"/>
      <c r="I42" s="13"/>
      <c r="J42" s="13"/>
      <c r="K42" s="13"/>
      <c r="L42" s="13"/>
      <c r="M42" s="13"/>
      <c r="N42" s="13"/>
      <c r="O42" s="13" t="s">
        <v>786</v>
      </c>
      <c r="P42" s="13" t="s">
        <v>786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1:51" x14ac:dyDescent="0.2">
      <c r="A43" t="s">
        <v>682</v>
      </c>
      <c r="B43" t="s">
        <v>671</v>
      </c>
      <c r="C43" t="s">
        <v>582</v>
      </c>
      <c r="D43" s="7" t="s">
        <v>734</v>
      </c>
      <c r="E43" s="10"/>
      <c r="F43" s="15">
        <f>F47</f>
        <v>0</v>
      </c>
      <c r="G43" s="5" t="str">
        <f t="shared" ref="G43:AY43" si="16">G47</f>
        <v>PressureWaveform</v>
      </c>
      <c r="H43" s="5" t="str">
        <f t="shared" si="16"/>
        <v>PressureWaveform</v>
      </c>
      <c r="I43" s="5" t="str">
        <f t="shared" si="16"/>
        <v>PressureWaveform</v>
      </c>
      <c r="J43" s="5" t="str">
        <f t="shared" si="16"/>
        <v>PressureWaveform</v>
      </c>
      <c r="K43" s="5" t="str">
        <f t="shared" si="16"/>
        <v>PressureWaveform</v>
      </c>
      <c r="L43" s="5" t="str">
        <f t="shared" si="16"/>
        <v>PressureWaveform</v>
      </c>
      <c r="M43" s="5" t="str">
        <f t="shared" si="16"/>
        <v>CO2Waveform</v>
      </c>
      <c r="N43" s="5" t="str">
        <f t="shared" si="16"/>
        <v>CO2Waveform</v>
      </c>
      <c r="O43" s="5">
        <f t="shared" si="16"/>
        <v>0</v>
      </c>
      <c r="P43" s="5">
        <f t="shared" si="16"/>
        <v>0</v>
      </c>
      <c r="Q43" s="5" t="str">
        <f t="shared" si="16"/>
        <v>Pressure_Waveform</v>
      </c>
      <c r="R43" s="5">
        <f t="shared" si="16"/>
        <v>0</v>
      </c>
      <c r="S43" s="5">
        <f t="shared" si="16"/>
        <v>0</v>
      </c>
      <c r="T43" s="5">
        <f t="shared" si="16"/>
        <v>0</v>
      </c>
      <c r="U43" s="5">
        <f t="shared" si="16"/>
        <v>0</v>
      </c>
      <c r="V43" s="5">
        <f t="shared" si="16"/>
        <v>0</v>
      </c>
      <c r="W43" s="5">
        <f t="shared" si="16"/>
        <v>0</v>
      </c>
      <c r="X43" s="5">
        <f t="shared" si="16"/>
        <v>0</v>
      </c>
      <c r="Y43" s="5">
        <f t="shared" si="16"/>
        <v>0</v>
      </c>
      <c r="Z43" s="5">
        <f t="shared" si="16"/>
        <v>0</v>
      </c>
      <c r="AA43" s="5" t="str">
        <f t="shared" si="16"/>
        <v>PPG_Signal</v>
      </c>
      <c r="AB43" s="5" t="str">
        <f t="shared" si="16"/>
        <v>PPG_Signal</v>
      </c>
      <c r="AC43" s="5" t="str">
        <f t="shared" si="16"/>
        <v>PPG_Signal</v>
      </c>
      <c r="AD43" s="5" t="str">
        <f t="shared" si="16"/>
        <v>PPG_Signal</v>
      </c>
      <c r="AE43" s="5" t="str">
        <f t="shared" si="16"/>
        <v>PPG_Signal</v>
      </c>
      <c r="AF43" s="5" t="str">
        <f t="shared" si="16"/>
        <v>PPG_Signal</v>
      </c>
      <c r="AG43" s="5">
        <f t="shared" si="16"/>
        <v>0</v>
      </c>
      <c r="AH43" s="5">
        <f t="shared" si="16"/>
        <v>0</v>
      </c>
      <c r="AI43" s="5">
        <f t="shared" si="16"/>
        <v>0</v>
      </c>
      <c r="AJ43" s="5">
        <f t="shared" si="16"/>
        <v>0</v>
      </c>
      <c r="AK43" s="5">
        <f t="shared" si="16"/>
        <v>0</v>
      </c>
      <c r="AL43" s="5">
        <f t="shared" si="16"/>
        <v>0</v>
      </c>
      <c r="AM43" s="5">
        <f t="shared" si="16"/>
        <v>0</v>
      </c>
      <c r="AN43" s="5">
        <f t="shared" si="16"/>
        <v>0</v>
      </c>
      <c r="AO43" s="5">
        <f t="shared" si="16"/>
        <v>0</v>
      </c>
      <c r="AP43" s="5">
        <f t="shared" si="16"/>
        <v>0</v>
      </c>
      <c r="AQ43" s="5">
        <f t="shared" si="16"/>
        <v>0</v>
      </c>
      <c r="AR43" s="5">
        <f t="shared" si="16"/>
        <v>0</v>
      </c>
      <c r="AS43" s="5">
        <f t="shared" si="16"/>
        <v>0</v>
      </c>
      <c r="AT43" s="5">
        <f t="shared" si="16"/>
        <v>0</v>
      </c>
      <c r="AU43" s="5">
        <f t="shared" si="16"/>
        <v>0</v>
      </c>
      <c r="AV43" s="5">
        <f t="shared" si="16"/>
        <v>0</v>
      </c>
      <c r="AW43" s="5">
        <f t="shared" si="16"/>
        <v>0</v>
      </c>
      <c r="AX43" s="5">
        <f t="shared" si="16"/>
        <v>0</v>
      </c>
      <c r="AY43" s="5">
        <f t="shared" si="16"/>
        <v>0</v>
      </c>
    </row>
    <row r="44" spans="1:51" x14ac:dyDescent="0.2">
      <c r="A44" t="s">
        <v>684</v>
      </c>
      <c r="B44" t="s">
        <v>670</v>
      </c>
      <c r="D44" s="7" t="s">
        <v>735</v>
      </c>
      <c r="E44" s="10"/>
      <c r="F44" s="19"/>
      <c r="G44" s="11"/>
      <c r="H44" s="11"/>
      <c r="I44" s="11"/>
      <c r="J44" s="11"/>
      <c r="K44" s="11"/>
      <c r="L44" s="11"/>
      <c r="M44" s="11"/>
      <c r="N44" s="11"/>
      <c r="O44" s="11" t="s">
        <v>790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x14ac:dyDescent="0.2">
      <c r="A45" t="s">
        <v>683</v>
      </c>
      <c r="B45" t="s">
        <v>670</v>
      </c>
      <c r="D45" s="7" t="s">
        <v>736</v>
      </c>
      <c r="E45" s="10"/>
      <c r="F45" s="19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x14ac:dyDescent="0.2">
      <c r="E46" s="10"/>
      <c r="F46" s="17"/>
    </row>
    <row r="47" spans="1:51" x14ac:dyDescent="0.2">
      <c r="A47" t="s">
        <v>685</v>
      </c>
      <c r="B47" t="s">
        <v>670</v>
      </c>
      <c r="D47" s="7" t="s">
        <v>737</v>
      </c>
      <c r="E47" s="10"/>
      <c r="F47" s="18"/>
      <c r="G47" s="13" t="s">
        <v>762</v>
      </c>
      <c r="H47" s="13" t="s">
        <v>762</v>
      </c>
      <c r="I47" s="13" t="s">
        <v>762</v>
      </c>
      <c r="J47" s="13" t="s">
        <v>762</v>
      </c>
      <c r="K47" s="13" t="s">
        <v>762</v>
      </c>
      <c r="L47" s="13" t="s">
        <v>762</v>
      </c>
      <c r="M47" s="13" t="s">
        <v>779</v>
      </c>
      <c r="N47" s="13" t="s">
        <v>779</v>
      </c>
      <c r="O47" s="13"/>
      <c r="P47" s="13"/>
      <c r="Q47" s="13" t="s">
        <v>801</v>
      </c>
      <c r="R47" s="13"/>
      <c r="S47" s="13"/>
      <c r="T47" s="13"/>
      <c r="U47" s="13"/>
      <c r="V47" s="13"/>
      <c r="W47" s="13"/>
      <c r="X47" s="13"/>
      <c r="Y47" s="13"/>
      <c r="Z47" s="13"/>
      <c r="AA47" s="13" t="s">
        <v>772</v>
      </c>
      <c r="AB47" s="13" t="s">
        <v>772</v>
      </c>
      <c r="AC47" s="13" t="s">
        <v>772</v>
      </c>
      <c r="AD47" s="13" t="s">
        <v>772</v>
      </c>
      <c r="AE47" s="13" t="s">
        <v>772</v>
      </c>
      <c r="AF47" s="13" t="s">
        <v>772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1:51" x14ac:dyDescent="0.2">
      <c r="A48" t="s">
        <v>686</v>
      </c>
      <c r="B48" t="s">
        <v>670</v>
      </c>
      <c r="D48" s="7" t="s">
        <v>738</v>
      </c>
      <c r="E48" s="10"/>
      <c r="F48" s="18"/>
      <c r="G48" s="13" t="s">
        <v>763</v>
      </c>
      <c r="H48" s="13" t="s">
        <v>763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1:51" x14ac:dyDescent="0.2">
      <c r="A49" t="s">
        <v>771</v>
      </c>
      <c r="B49" t="s">
        <v>670</v>
      </c>
      <c r="D49" s="7" t="s">
        <v>770</v>
      </c>
      <c r="E49" s="10"/>
      <c r="F49" s="18"/>
      <c r="G49" s="13" t="s">
        <v>773</v>
      </c>
      <c r="H49" s="13" t="s">
        <v>773</v>
      </c>
      <c r="I49" s="13" t="s">
        <v>773</v>
      </c>
      <c r="J49" s="13" t="s">
        <v>773</v>
      </c>
      <c r="K49" s="13" t="s">
        <v>773</v>
      </c>
      <c r="L49" s="13" t="s">
        <v>773</v>
      </c>
      <c r="M49" s="13" t="s">
        <v>773</v>
      </c>
      <c r="N49" s="13" t="s">
        <v>773</v>
      </c>
      <c r="O49" s="13" t="s">
        <v>787</v>
      </c>
      <c r="P49" s="13" t="s">
        <v>787</v>
      </c>
      <c r="Q49" s="13" t="s">
        <v>773</v>
      </c>
      <c r="R49" s="13"/>
      <c r="S49" s="13"/>
      <c r="T49" s="13"/>
      <c r="U49" s="13"/>
      <c r="V49" s="13"/>
      <c r="W49" s="13"/>
      <c r="X49" s="13"/>
      <c r="Y49" s="13"/>
      <c r="Z49" s="13"/>
      <c r="AA49" s="13" t="s">
        <v>773</v>
      </c>
      <c r="AB49" s="13" t="s">
        <v>773</v>
      </c>
      <c r="AC49" s="13" t="s">
        <v>773</v>
      </c>
      <c r="AD49" s="13" t="s">
        <v>773</v>
      </c>
      <c r="AE49" s="13" t="s">
        <v>773</v>
      </c>
      <c r="AF49" s="13" t="s">
        <v>773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1:51" x14ac:dyDescent="0.2">
      <c r="A50" t="s">
        <v>687</v>
      </c>
      <c r="B50" t="s">
        <v>671</v>
      </c>
      <c r="C50" t="s">
        <v>583</v>
      </c>
      <c r="D50" s="7" t="s">
        <v>739</v>
      </c>
      <c r="E50" s="10"/>
      <c r="F50" s="15">
        <f>F54</f>
        <v>0</v>
      </c>
      <c r="G50" s="5" t="str">
        <f t="shared" ref="G50:AY50" si="17">G54</f>
        <v>InvasivePressureTransducer</v>
      </c>
      <c r="H50" s="5">
        <f t="shared" si="17"/>
        <v>0</v>
      </c>
      <c r="I50" s="5">
        <f t="shared" si="17"/>
        <v>0</v>
      </c>
      <c r="J50" s="5">
        <f t="shared" si="17"/>
        <v>0</v>
      </c>
      <c r="K50" s="5">
        <f t="shared" si="17"/>
        <v>0</v>
      </c>
      <c r="L50" s="5">
        <f t="shared" si="17"/>
        <v>0</v>
      </c>
      <c r="M50" s="5" t="str">
        <f t="shared" si="17"/>
        <v>Capno_Sensor</v>
      </c>
      <c r="N50" s="5" t="str">
        <f t="shared" si="17"/>
        <v>Capno_Sensor</v>
      </c>
      <c r="O50" s="5" t="str">
        <f t="shared" si="17"/>
        <v>-</v>
      </c>
      <c r="P50" s="5" t="str">
        <f t="shared" si="17"/>
        <v>-</v>
      </c>
      <c r="Q50" s="5" t="str">
        <f t="shared" si="17"/>
        <v>CVP_PressureSensor</v>
      </c>
      <c r="R50" s="5">
        <f t="shared" si="17"/>
        <v>0</v>
      </c>
      <c r="S50" s="5">
        <f t="shared" si="17"/>
        <v>0</v>
      </c>
      <c r="T50" s="5">
        <f t="shared" si="17"/>
        <v>0</v>
      </c>
      <c r="U50" s="5">
        <f t="shared" si="17"/>
        <v>0</v>
      </c>
      <c r="V50" s="5">
        <f t="shared" si="17"/>
        <v>0</v>
      </c>
      <c r="W50" s="5">
        <f t="shared" si="17"/>
        <v>0</v>
      </c>
      <c r="X50" s="5">
        <f t="shared" si="17"/>
        <v>0</v>
      </c>
      <c r="Y50" s="5">
        <f t="shared" si="17"/>
        <v>0</v>
      </c>
      <c r="Z50" s="5">
        <f t="shared" si="17"/>
        <v>0</v>
      </c>
      <c r="AA50" s="5" t="str">
        <f t="shared" si="17"/>
        <v>PulseOximeter_Sensor</v>
      </c>
      <c r="AB50" s="5" t="str">
        <f t="shared" si="17"/>
        <v>PulseOximeter_Sensor</v>
      </c>
      <c r="AC50" s="5" t="str">
        <f t="shared" si="17"/>
        <v>PulseOximeter_Sensor</v>
      </c>
      <c r="AD50" s="5" t="str">
        <f t="shared" si="17"/>
        <v>PulseOximeter_Sensor</v>
      </c>
      <c r="AE50" s="5" t="str">
        <f t="shared" si="17"/>
        <v>PulseOximeter_Sensor</v>
      </c>
      <c r="AF50" s="5" t="str">
        <f t="shared" si="17"/>
        <v>PulseOximeter_Sensor</v>
      </c>
      <c r="AG50" s="5">
        <f t="shared" si="17"/>
        <v>0</v>
      </c>
      <c r="AH50" s="5">
        <f t="shared" si="17"/>
        <v>0</v>
      </c>
      <c r="AI50" s="5">
        <f t="shared" si="17"/>
        <v>0</v>
      </c>
      <c r="AJ50" s="5">
        <f t="shared" si="17"/>
        <v>0</v>
      </c>
      <c r="AK50" s="5">
        <f t="shared" si="17"/>
        <v>0</v>
      </c>
      <c r="AL50" s="5">
        <f t="shared" si="17"/>
        <v>0</v>
      </c>
      <c r="AM50" s="5">
        <f t="shared" si="17"/>
        <v>0</v>
      </c>
      <c r="AN50" s="5">
        <f t="shared" si="17"/>
        <v>0</v>
      </c>
      <c r="AO50" s="5">
        <f t="shared" si="17"/>
        <v>0</v>
      </c>
      <c r="AP50" s="5">
        <f t="shared" si="17"/>
        <v>0</v>
      </c>
      <c r="AQ50" s="5">
        <f t="shared" si="17"/>
        <v>0</v>
      </c>
      <c r="AR50" s="5">
        <f t="shared" si="17"/>
        <v>0</v>
      </c>
      <c r="AS50" s="5">
        <f t="shared" si="17"/>
        <v>0</v>
      </c>
      <c r="AT50" s="5">
        <f t="shared" si="17"/>
        <v>0</v>
      </c>
      <c r="AU50" s="5">
        <f t="shared" si="17"/>
        <v>0</v>
      </c>
      <c r="AV50" s="5">
        <f t="shared" si="17"/>
        <v>0</v>
      </c>
      <c r="AW50" s="5">
        <f t="shared" si="17"/>
        <v>0</v>
      </c>
      <c r="AX50" s="5">
        <f t="shared" si="17"/>
        <v>0</v>
      </c>
      <c r="AY50" s="5">
        <f t="shared" si="17"/>
        <v>0</v>
      </c>
    </row>
    <row r="51" spans="1:51" x14ac:dyDescent="0.2">
      <c r="A51" t="s">
        <v>753</v>
      </c>
      <c r="B51" t="s">
        <v>671</v>
      </c>
      <c r="C51" t="s">
        <v>581</v>
      </c>
      <c r="D51" s="7" t="s">
        <v>740</v>
      </c>
      <c r="E51" s="10"/>
      <c r="F51" s="15">
        <f>F41</f>
        <v>0</v>
      </c>
      <c r="G51" s="5" t="str">
        <f t="shared" ref="G51:AY51" si="18">G41</f>
        <v>PressureWaveformAnalysis</v>
      </c>
      <c r="H51" s="5" t="str">
        <f t="shared" si="18"/>
        <v>PressureWaveformAnalysis</v>
      </c>
      <c r="I51" s="5" t="str">
        <f t="shared" si="18"/>
        <v>PressureWaveformAnalysis</v>
      </c>
      <c r="J51" s="5" t="str">
        <f t="shared" si="18"/>
        <v>PressureWaveformAnalysis</v>
      </c>
      <c r="K51" s="5" t="str">
        <f t="shared" si="18"/>
        <v>PressureWaveformAnalysis</v>
      </c>
      <c r="L51" s="5" t="str">
        <f t="shared" si="18"/>
        <v>PressureWaveformAnalysis</v>
      </c>
      <c r="M51" s="5" t="str">
        <f t="shared" si="18"/>
        <v>RF_CO2_WaveformAnalysis</v>
      </c>
      <c r="N51" s="5" t="str">
        <f t="shared" si="18"/>
        <v>RF_CO2_WaveformAnalysis</v>
      </c>
      <c r="O51" s="5" t="str">
        <f t="shared" si="18"/>
        <v>CPP_Computation</v>
      </c>
      <c r="P51" s="5" t="str">
        <f t="shared" si="18"/>
        <v>CPP_Computation</v>
      </c>
      <c r="Q51" s="5" t="str">
        <f t="shared" si="18"/>
        <v>VenousPressure_process</v>
      </c>
      <c r="R51" s="5">
        <f t="shared" si="18"/>
        <v>0</v>
      </c>
      <c r="S51" s="5">
        <f t="shared" si="18"/>
        <v>0</v>
      </c>
      <c r="T51" s="5">
        <f t="shared" si="18"/>
        <v>0</v>
      </c>
      <c r="U51" s="5">
        <f t="shared" si="18"/>
        <v>0</v>
      </c>
      <c r="V51" s="5">
        <f t="shared" si="18"/>
        <v>0</v>
      </c>
      <c r="W51" s="5">
        <f t="shared" si="18"/>
        <v>0</v>
      </c>
      <c r="X51" s="5">
        <f t="shared" si="18"/>
        <v>0</v>
      </c>
      <c r="Y51" s="5">
        <f t="shared" si="18"/>
        <v>0</v>
      </c>
      <c r="Z51" s="5">
        <f t="shared" si="18"/>
        <v>0</v>
      </c>
      <c r="AA51" s="5" t="str">
        <f t="shared" si="18"/>
        <v>SpO2_analysis</v>
      </c>
      <c r="AB51" s="5" t="str">
        <f t="shared" si="18"/>
        <v>SpO2_analysis</v>
      </c>
      <c r="AC51" s="5" t="str">
        <f t="shared" si="18"/>
        <v>SpO2_analysis</v>
      </c>
      <c r="AD51" s="5" t="str">
        <f t="shared" si="18"/>
        <v>SpO2_analysis</v>
      </c>
      <c r="AE51" s="5" t="str">
        <f t="shared" si="18"/>
        <v>SpO2_analysis</v>
      </c>
      <c r="AF51" s="5" t="str">
        <f t="shared" si="18"/>
        <v>SpO2_analysis</v>
      </c>
      <c r="AG51" s="5">
        <f t="shared" si="18"/>
        <v>0</v>
      </c>
      <c r="AH51" s="5">
        <f t="shared" si="18"/>
        <v>0</v>
      </c>
      <c r="AI51" s="5">
        <f t="shared" si="18"/>
        <v>0</v>
      </c>
      <c r="AJ51" s="5">
        <f t="shared" si="18"/>
        <v>0</v>
      </c>
      <c r="AK51" s="5">
        <f t="shared" si="18"/>
        <v>0</v>
      </c>
      <c r="AL51" s="5">
        <f t="shared" si="18"/>
        <v>0</v>
      </c>
      <c r="AM51" s="5">
        <f t="shared" si="18"/>
        <v>0</v>
      </c>
      <c r="AN51" s="5">
        <f t="shared" si="18"/>
        <v>0</v>
      </c>
      <c r="AO51" s="5">
        <f t="shared" si="18"/>
        <v>0</v>
      </c>
      <c r="AP51" s="5">
        <f t="shared" si="18"/>
        <v>0</v>
      </c>
      <c r="AQ51" s="5">
        <f t="shared" si="18"/>
        <v>0</v>
      </c>
      <c r="AR51" s="5">
        <f t="shared" si="18"/>
        <v>0</v>
      </c>
      <c r="AS51" s="5">
        <f t="shared" si="18"/>
        <v>0</v>
      </c>
      <c r="AT51" s="5">
        <f t="shared" si="18"/>
        <v>0</v>
      </c>
      <c r="AU51" s="5">
        <f t="shared" si="18"/>
        <v>0</v>
      </c>
      <c r="AV51" s="5">
        <f t="shared" si="18"/>
        <v>0</v>
      </c>
      <c r="AW51" s="5">
        <f t="shared" si="18"/>
        <v>0</v>
      </c>
      <c r="AX51" s="5">
        <f t="shared" si="18"/>
        <v>0</v>
      </c>
      <c r="AY51" s="5">
        <f t="shared" si="18"/>
        <v>0</v>
      </c>
    </row>
    <row r="52" spans="1:51" x14ac:dyDescent="0.2">
      <c r="A52" t="s">
        <v>688</v>
      </c>
      <c r="B52" t="s">
        <v>670</v>
      </c>
      <c r="D52" s="7" t="s">
        <v>741</v>
      </c>
      <c r="E52" s="10"/>
      <c r="F52" s="19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</row>
    <row r="53" spans="1:51" x14ac:dyDescent="0.2">
      <c r="E53" s="10"/>
      <c r="F53" s="17"/>
    </row>
    <row r="54" spans="1:51" x14ac:dyDescent="0.2">
      <c r="A54" t="s">
        <v>689</v>
      </c>
      <c r="B54" t="s">
        <v>670</v>
      </c>
      <c r="D54" s="7" t="s">
        <v>739</v>
      </c>
      <c r="E54" s="10"/>
      <c r="F54" s="18"/>
      <c r="G54" s="13" t="s">
        <v>759</v>
      </c>
      <c r="H54" s="13"/>
      <c r="I54" s="13"/>
      <c r="J54" s="13"/>
      <c r="K54" s="13"/>
      <c r="L54" s="13"/>
      <c r="M54" s="13" t="s">
        <v>781</v>
      </c>
      <c r="N54" s="13" t="s">
        <v>781</v>
      </c>
      <c r="O54" s="13" t="s">
        <v>723</v>
      </c>
      <c r="P54" s="13" t="s">
        <v>723</v>
      </c>
      <c r="Q54" s="13" t="s">
        <v>802</v>
      </c>
      <c r="R54" s="13"/>
      <c r="S54" s="13"/>
      <c r="T54" s="13"/>
      <c r="U54" s="13"/>
      <c r="V54" s="13"/>
      <c r="W54" s="13"/>
      <c r="X54" s="13"/>
      <c r="Y54" s="13"/>
      <c r="Z54" s="13"/>
      <c r="AA54" s="13" t="s">
        <v>768</v>
      </c>
      <c r="AB54" s="13" t="s">
        <v>768</v>
      </c>
      <c r="AC54" s="13" t="s">
        <v>768</v>
      </c>
      <c r="AD54" s="13" t="s">
        <v>768</v>
      </c>
      <c r="AE54" s="13" t="s">
        <v>768</v>
      </c>
      <c r="AF54" s="13" t="s">
        <v>768</v>
      </c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</row>
    <row r="55" spans="1:51" x14ac:dyDescent="0.2">
      <c r="A55" t="s">
        <v>749</v>
      </c>
      <c r="B55" t="s">
        <v>670</v>
      </c>
      <c r="D55" s="7" t="s">
        <v>750</v>
      </c>
      <c r="E55" s="10"/>
      <c r="F55" s="18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</row>
    <row r="56" spans="1:51" x14ac:dyDescent="0.2">
      <c r="A56" t="s">
        <v>690</v>
      </c>
      <c r="B56" t="s">
        <v>670</v>
      </c>
      <c r="D56" s="7" t="s">
        <v>742</v>
      </c>
      <c r="E56" s="10"/>
      <c r="F56" s="19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x14ac:dyDescent="0.2">
      <c r="A57" t="s">
        <v>691</v>
      </c>
      <c r="B57" t="s">
        <v>671</v>
      </c>
      <c r="C57" t="s">
        <v>693</v>
      </c>
      <c r="D57" s="7" t="s">
        <v>743</v>
      </c>
      <c r="E57" s="10"/>
      <c r="F57" s="15">
        <f>F61</f>
        <v>0</v>
      </c>
      <c r="G57" s="5">
        <f t="shared" ref="G57:AY57" si="19">G61</f>
        <v>0</v>
      </c>
      <c r="H57" s="5">
        <f t="shared" si="19"/>
        <v>0</v>
      </c>
      <c r="I57" s="5">
        <f t="shared" si="19"/>
        <v>0</v>
      </c>
      <c r="J57" s="5">
        <f t="shared" si="19"/>
        <v>0</v>
      </c>
      <c r="K57" s="5">
        <f t="shared" si="19"/>
        <v>0</v>
      </c>
      <c r="L57" s="5">
        <f t="shared" si="19"/>
        <v>0</v>
      </c>
      <c r="M57" s="5">
        <f t="shared" si="19"/>
        <v>0</v>
      </c>
      <c r="N57" s="5">
        <f t="shared" si="19"/>
        <v>0</v>
      </c>
      <c r="O57" s="5">
        <f t="shared" si="19"/>
        <v>0</v>
      </c>
      <c r="P57" s="5">
        <f t="shared" si="19"/>
        <v>0</v>
      </c>
      <c r="Q57" s="5">
        <f t="shared" si="19"/>
        <v>0</v>
      </c>
      <c r="R57" s="5">
        <f t="shared" si="19"/>
        <v>0</v>
      </c>
      <c r="S57" s="5">
        <f t="shared" si="19"/>
        <v>0</v>
      </c>
      <c r="T57" s="5">
        <f t="shared" si="19"/>
        <v>0</v>
      </c>
      <c r="U57" s="5">
        <f t="shared" si="19"/>
        <v>0</v>
      </c>
      <c r="V57" s="5">
        <f t="shared" si="19"/>
        <v>0</v>
      </c>
      <c r="W57" s="5">
        <f t="shared" si="19"/>
        <v>0</v>
      </c>
      <c r="X57" s="5">
        <f t="shared" si="19"/>
        <v>0</v>
      </c>
      <c r="Y57" s="5">
        <f t="shared" si="19"/>
        <v>0</v>
      </c>
      <c r="Z57" s="5">
        <f t="shared" si="19"/>
        <v>0</v>
      </c>
      <c r="AA57" s="5">
        <f t="shared" si="19"/>
        <v>0</v>
      </c>
      <c r="AB57" s="5">
        <f t="shared" si="19"/>
        <v>0</v>
      </c>
      <c r="AC57" s="5">
        <f t="shared" si="19"/>
        <v>0</v>
      </c>
      <c r="AD57" s="5">
        <f t="shared" si="19"/>
        <v>0</v>
      </c>
      <c r="AE57" s="5">
        <f t="shared" si="19"/>
        <v>0</v>
      </c>
      <c r="AF57" s="5">
        <f t="shared" si="19"/>
        <v>0</v>
      </c>
      <c r="AG57" s="5">
        <f t="shared" si="19"/>
        <v>0</v>
      </c>
      <c r="AH57" s="5">
        <f t="shared" si="19"/>
        <v>0</v>
      </c>
      <c r="AI57" s="5">
        <f t="shared" si="19"/>
        <v>0</v>
      </c>
      <c r="AJ57" s="5">
        <f t="shared" si="19"/>
        <v>0</v>
      </c>
      <c r="AK57" s="5">
        <f t="shared" si="19"/>
        <v>0</v>
      </c>
      <c r="AL57" s="5">
        <f t="shared" si="19"/>
        <v>0</v>
      </c>
      <c r="AM57" s="5">
        <f t="shared" si="19"/>
        <v>0</v>
      </c>
      <c r="AN57" s="5">
        <f t="shared" si="19"/>
        <v>0</v>
      </c>
      <c r="AO57" s="5">
        <f t="shared" si="19"/>
        <v>0</v>
      </c>
      <c r="AP57" s="5">
        <f t="shared" si="19"/>
        <v>0</v>
      </c>
      <c r="AQ57" s="5">
        <f t="shared" si="19"/>
        <v>0</v>
      </c>
      <c r="AR57" s="5">
        <f t="shared" si="19"/>
        <v>0</v>
      </c>
      <c r="AS57" s="5">
        <f t="shared" si="19"/>
        <v>0</v>
      </c>
      <c r="AT57" s="5">
        <f t="shared" si="19"/>
        <v>0</v>
      </c>
      <c r="AU57" s="5">
        <f t="shared" si="19"/>
        <v>0</v>
      </c>
      <c r="AV57" s="5">
        <f t="shared" si="19"/>
        <v>0</v>
      </c>
      <c r="AW57" s="5">
        <f t="shared" si="19"/>
        <v>0</v>
      </c>
      <c r="AX57" s="5">
        <f t="shared" si="19"/>
        <v>0</v>
      </c>
      <c r="AY57" s="5">
        <f t="shared" si="19"/>
        <v>0</v>
      </c>
    </row>
    <row r="58" spans="1:51" x14ac:dyDescent="0.2">
      <c r="A58" t="s">
        <v>692</v>
      </c>
      <c r="B58" t="s">
        <v>671</v>
      </c>
      <c r="C58" t="s">
        <v>582</v>
      </c>
      <c r="D58" s="7" t="s">
        <v>734</v>
      </c>
      <c r="E58" s="10"/>
      <c r="F58" s="15">
        <f>F47</f>
        <v>0</v>
      </c>
      <c r="G58" s="5" t="str">
        <f t="shared" ref="G58:AY58" si="20">G47</f>
        <v>PressureWaveform</v>
      </c>
      <c r="H58" s="5" t="str">
        <f t="shared" si="20"/>
        <v>PressureWaveform</v>
      </c>
      <c r="I58" s="5" t="str">
        <f t="shared" si="20"/>
        <v>PressureWaveform</v>
      </c>
      <c r="J58" s="5" t="str">
        <f t="shared" si="20"/>
        <v>PressureWaveform</v>
      </c>
      <c r="K58" s="5" t="str">
        <f t="shared" si="20"/>
        <v>PressureWaveform</v>
      </c>
      <c r="L58" s="5" t="str">
        <f t="shared" si="20"/>
        <v>PressureWaveform</v>
      </c>
      <c r="M58" s="5" t="str">
        <f t="shared" si="20"/>
        <v>CO2Waveform</v>
      </c>
      <c r="N58" s="5" t="str">
        <f t="shared" si="20"/>
        <v>CO2Waveform</v>
      </c>
      <c r="O58" s="5">
        <f t="shared" si="20"/>
        <v>0</v>
      </c>
      <c r="P58" s="5">
        <f t="shared" si="20"/>
        <v>0</v>
      </c>
      <c r="Q58" s="5" t="str">
        <f t="shared" si="20"/>
        <v>Pressure_Waveform</v>
      </c>
      <c r="R58" s="5">
        <f t="shared" si="20"/>
        <v>0</v>
      </c>
      <c r="S58" s="5">
        <f t="shared" si="20"/>
        <v>0</v>
      </c>
      <c r="T58" s="5">
        <f t="shared" si="20"/>
        <v>0</v>
      </c>
      <c r="U58" s="5">
        <f t="shared" si="20"/>
        <v>0</v>
      </c>
      <c r="V58" s="5">
        <f t="shared" si="20"/>
        <v>0</v>
      </c>
      <c r="W58" s="5">
        <f t="shared" si="20"/>
        <v>0</v>
      </c>
      <c r="X58" s="5">
        <f t="shared" si="20"/>
        <v>0</v>
      </c>
      <c r="Y58" s="5">
        <f t="shared" si="20"/>
        <v>0</v>
      </c>
      <c r="Z58" s="5">
        <f t="shared" si="20"/>
        <v>0</v>
      </c>
      <c r="AA58" s="5" t="str">
        <f t="shared" si="20"/>
        <v>PPG_Signal</v>
      </c>
      <c r="AB58" s="5" t="str">
        <f t="shared" si="20"/>
        <v>PPG_Signal</v>
      </c>
      <c r="AC58" s="5" t="str">
        <f t="shared" si="20"/>
        <v>PPG_Signal</v>
      </c>
      <c r="AD58" s="5" t="str">
        <f t="shared" si="20"/>
        <v>PPG_Signal</v>
      </c>
      <c r="AE58" s="5" t="str">
        <f t="shared" si="20"/>
        <v>PPG_Signal</v>
      </c>
      <c r="AF58" s="5" t="str">
        <f t="shared" si="20"/>
        <v>PPG_Signal</v>
      </c>
      <c r="AG58" s="5">
        <f t="shared" si="20"/>
        <v>0</v>
      </c>
      <c r="AH58" s="5">
        <f t="shared" si="20"/>
        <v>0</v>
      </c>
      <c r="AI58" s="5">
        <f t="shared" si="20"/>
        <v>0</v>
      </c>
      <c r="AJ58" s="5">
        <f t="shared" si="20"/>
        <v>0</v>
      </c>
      <c r="AK58" s="5">
        <f t="shared" si="20"/>
        <v>0</v>
      </c>
      <c r="AL58" s="5">
        <f t="shared" si="20"/>
        <v>0</v>
      </c>
      <c r="AM58" s="5">
        <f t="shared" si="20"/>
        <v>0</v>
      </c>
      <c r="AN58" s="5">
        <f t="shared" si="20"/>
        <v>0</v>
      </c>
      <c r="AO58" s="5">
        <f t="shared" si="20"/>
        <v>0</v>
      </c>
      <c r="AP58" s="5">
        <f t="shared" si="20"/>
        <v>0</v>
      </c>
      <c r="AQ58" s="5">
        <f t="shared" si="20"/>
        <v>0</v>
      </c>
      <c r="AR58" s="5">
        <f t="shared" si="20"/>
        <v>0</v>
      </c>
      <c r="AS58" s="5">
        <f t="shared" si="20"/>
        <v>0</v>
      </c>
      <c r="AT58" s="5">
        <f t="shared" si="20"/>
        <v>0</v>
      </c>
      <c r="AU58" s="5">
        <f t="shared" si="20"/>
        <v>0</v>
      </c>
      <c r="AV58" s="5">
        <f t="shared" si="20"/>
        <v>0</v>
      </c>
      <c r="AW58" s="5">
        <f t="shared" si="20"/>
        <v>0</v>
      </c>
      <c r="AX58" s="5">
        <f t="shared" si="20"/>
        <v>0</v>
      </c>
      <c r="AY58" s="5">
        <f t="shared" si="20"/>
        <v>0</v>
      </c>
    </row>
    <row r="59" spans="1:51" x14ac:dyDescent="0.2">
      <c r="A59" t="s">
        <v>694</v>
      </c>
      <c r="B59" t="s">
        <v>671</v>
      </c>
      <c r="C59" t="s">
        <v>576</v>
      </c>
      <c r="D59" s="7" t="s">
        <v>727</v>
      </c>
      <c r="E59" s="10"/>
      <c r="F59" s="15">
        <f>F22</f>
        <v>0</v>
      </c>
      <c r="G59" s="5" t="str">
        <f t="shared" ref="G59:AY59" si="21">G22</f>
        <v>AorticPressure</v>
      </c>
      <c r="H59" s="5" t="str">
        <f t="shared" si="21"/>
        <v>AorticPressure</v>
      </c>
      <c r="I59" s="5" t="str">
        <f t="shared" si="21"/>
        <v>Aortic pressure</v>
      </c>
      <c r="J59" s="5" t="str">
        <f t="shared" si="21"/>
        <v>Aortic pressure</v>
      </c>
      <c r="K59" s="5" t="str">
        <f t="shared" si="21"/>
        <v>Aortic pressure</v>
      </c>
      <c r="L59" s="5" t="str">
        <f t="shared" si="21"/>
        <v>Aortic pressure</v>
      </c>
      <c r="M59" s="5" t="str">
        <f t="shared" si="21"/>
        <v>Respiratory Rate</v>
      </c>
      <c r="N59" s="5" t="str">
        <f t="shared" si="21"/>
        <v>Respiratory Rate</v>
      </c>
      <c r="O59" s="5" t="str">
        <f t="shared" si="21"/>
        <v>CerebralPerfusionPressure</v>
      </c>
      <c r="P59" s="5" t="str">
        <f t="shared" si="21"/>
        <v>CerebralPerfusionPressure</v>
      </c>
      <c r="Q59" s="5" t="str">
        <f t="shared" si="21"/>
        <v>CentralVenousPressure_Property</v>
      </c>
      <c r="R59" s="5">
        <f t="shared" si="21"/>
        <v>0</v>
      </c>
      <c r="S59" s="5">
        <f t="shared" si="21"/>
        <v>0</v>
      </c>
      <c r="T59" s="5">
        <f t="shared" si="21"/>
        <v>0</v>
      </c>
      <c r="U59" s="5">
        <f t="shared" si="21"/>
        <v>0</v>
      </c>
      <c r="V59" s="5">
        <f t="shared" si="21"/>
        <v>0</v>
      </c>
      <c r="W59" s="5">
        <f t="shared" si="21"/>
        <v>0</v>
      </c>
      <c r="X59" s="5">
        <f t="shared" si="21"/>
        <v>0</v>
      </c>
      <c r="Y59" s="5">
        <f t="shared" si="21"/>
        <v>0</v>
      </c>
      <c r="Z59" s="5">
        <f t="shared" si="21"/>
        <v>0</v>
      </c>
      <c r="AA59" s="5" t="str">
        <f t="shared" si="21"/>
        <v>SaO2</v>
      </c>
      <c r="AB59" s="5" t="str">
        <f t="shared" si="21"/>
        <v>SaO2</v>
      </c>
      <c r="AC59" s="5" t="str">
        <f t="shared" si="21"/>
        <v>SaO2</v>
      </c>
      <c r="AD59" s="5" t="str">
        <f t="shared" si="21"/>
        <v>SaO2</v>
      </c>
      <c r="AE59" s="5" t="str">
        <f t="shared" si="21"/>
        <v>SaO2</v>
      </c>
      <c r="AF59" s="5" t="str">
        <f t="shared" si="21"/>
        <v>SaO2</v>
      </c>
      <c r="AG59" s="5">
        <f t="shared" si="21"/>
        <v>0</v>
      </c>
      <c r="AH59" s="5">
        <f t="shared" si="21"/>
        <v>0</v>
      </c>
      <c r="AI59" s="5">
        <f t="shared" si="21"/>
        <v>0</v>
      </c>
      <c r="AJ59" s="5">
        <f t="shared" si="21"/>
        <v>0</v>
      </c>
      <c r="AK59" s="5">
        <f t="shared" si="21"/>
        <v>0</v>
      </c>
      <c r="AL59" s="5">
        <f t="shared" si="21"/>
        <v>0</v>
      </c>
      <c r="AM59" s="5">
        <f t="shared" si="21"/>
        <v>0</v>
      </c>
      <c r="AN59" s="5">
        <f t="shared" si="21"/>
        <v>0</v>
      </c>
      <c r="AO59" s="5">
        <f t="shared" si="21"/>
        <v>0</v>
      </c>
      <c r="AP59" s="5">
        <f t="shared" si="21"/>
        <v>0</v>
      </c>
      <c r="AQ59" s="5">
        <f t="shared" si="21"/>
        <v>0</v>
      </c>
      <c r="AR59" s="5">
        <f t="shared" si="21"/>
        <v>0</v>
      </c>
      <c r="AS59" s="5">
        <f t="shared" si="21"/>
        <v>0</v>
      </c>
      <c r="AT59" s="5">
        <f t="shared" si="21"/>
        <v>0</v>
      </c>
      <c r="AU59" s="5">
        <f t="shared" si="21"/>
        <v>0</v>
      </c>
      <c r="AV59" s="5">
        <f t="shared" si="21"/>
        <v>0</v>
      </c>
      <c r="AW59" s="5">
        <f t="shared" si="21"/>
        <v>0</v>
      </c>
      <c r="AX59" s="5">
        <f t="shared" si="21"/>
        <v>0</v>
      </c>
      <c r="AY59" s="5">
        <f t="shared" si="21"/>
        <v>0</v>
      </c>
    </row>
    <row r="60" spans="1:51" x14ac:dyDescent="0.2">
      <c r="E60" s="10"/>
      <c r="F60" s="17"/>
    </row>
    <row r="61" spans="1:51" s="23" customFormat="1" x14ac:dyDescent="0.2">
      <c r="A61" t="s">
        <v>695</v>
      </c>
      <c r="B61" t="s">
        <v>670</v>
      </c>
      <c r="C61"/>
      <c r="D61" s="7" t="s">
        <v>744</v>
      </c>
      <c r="E61" s="21"/>
      <c r="F61" s="22"/>
    </row>
    <row r="62" spans="1:51" x14ac:dyDescent="0.2">
      <c r="A62" t="s">
        <v>696</v>
      </c>
      <c r="B62" t="s">
        <v>671</v>
      </c>
      <c r="C62" t="s">
        <v>578</v>
      </c>
      <c r="D62" s="7" t="s">
        <v>732</v>
      </c>
      <c r="E62" s="10"/>
      <c r="F62" s="15">
        <f>F65</f>
        <v>0</v>
      </c>
      <c r="G62" s="5" t="str">
        <f t="shared" ref="G62:AY62" si="22">G65</f>
        <v>InvasivePressureModule</v>
      </c>
      <c r="H62" s="5" t="str">
        <f t="shared" si="22"/>
        <v>InvasivePressureModule</v>
      </c>
      <c r="I62" s="5" t="str">
        <f t="shared" si="22"/>
        <v>InvasivePressureModule</v>
      </c>
      <c r="J62" s="5" t="str">
        <f t="shared" si="22"/>
        <v>InvasivePressureModule</v>
      </c>
      <c r="K62" s="5" t="str">
        <f t="shared" si="22"/>
        <v>InvasivePressureModule</v>
      </c>
      <c r="L62" s="5" t="str">
        <f t="shared" si="22"/>
        <v>InvasivePressureModule</v>
      </c>
      <c r="M62" s="5" t="str">
        <f t="shared" si="22"/>
        <v>Capno_Module</v>
      </c>
      <c r="N62" s="5" t="str">
        <f t="shared" si="22"/>
        <v>Capno_Module</v>
      </c>
      <c r="O62" s="5" t="str">
        <f t="shared" si="22"/>
        <v>HemodynamicsModule</v>
      </c>
      <c r="P62" s="5" t="str">
        <f t="shared" si="22"/>
        <v>HemodynamicsModule</v>
      </c>
      <c r="Q62" s="5">
        <f t="shared" si="22"/>
        <v>0</v>
      </c>
      <c r="R62" s="5">
        <f t="shared" si="22"/>
        <v>0</v>
      </c>
      <c r="S62" s="5">
        <f t="shared" si="22"/>
        <v>0</v>
      </c>
      <c r="T62" s="5">
        <f t="shared" si="22"/>
        <v>0</v>
      </c>
      <c r="U62" s="5">
        <f t="shared" si="22"/>
        <v>0</v>
      </c>
      <c r="V62" s="5">
        <f t="shared" si="22"/>
        <v>0</v>
      </c>
      <c r="W62" s="5">
        <f t="shared" si="22"/>
        <v>0</v>
      </c>
      <c r="X62" s="5">
        <f t="shared" si="22"/>
        <v>0</v>
      </c>
      <c r="Y62" s="5">
        <f t="shared" si="22"/>
        <v>0</v>
      </c>
      <c r="Z62" s="5">
        <f t="shared" si="22"/>
        <v>0</v>
      </c>
      <c r="AA62" s="5" t="str">
        <f t="shared" si="22"/>
        <v>PulseOximetryModule</v>
      </c>
      <c r="AB62" s="5" t="str">
        <f t="shared" si="22"/>
        <v>PulseOximetryModule</v>
      </c>
      <c r="AC62" s="5" t="str">
        <f t="shared" si="22"/>
        <v>PulseOximetryModule</v>
      </c>
      <c r="AD62" s="5" t="str">
        <f t="shared" si="22"/>
        <v>PulseOximetryModule</v>
      </c>
      <c r="AE62" s="5" t="str">
        <f t="shared" si="22"/>
        <v>PulseOximetryModule</v>
      </c>
      <c r="AF62" s="5" t="str">
        <f t="shared" si="22"/>
        <v>PulseOximetryModule</v>
      </c>
      <c r="AG62" s="5">
        <f t="shared" si="22"/>
        <v>0</v>
      </c>
      <c r="AH62" s="5">
        <f t="shared" si="22"/>
        <v>0</v>
      </c>
      <c r="AI62" s="5">
        <f t="shared" si="22"/>
        <v>0</v>
      </c>
      <c r="AJ62" s="5">
        <f t="shared" si="22"/>
        <v>0</v>
      </c>
      <c r="AK62" s="5">
        <f t="shared" si="22"/>
        <v>0</v>
      </c>
      <c r="AL62" s="5">
        <f t="shared" si="22"/>
        <v>0</v>
      </c>
      <c r="AM62" s="5">
        <f t="shared" si="22"/>
        <v>0</v>
      </c>
      <c r="AN62" s="5">
        <f t="shared" si="22"/>
        <v>0</v>
      </c>
      <c r="AO62" s="5">
        <f t="shared" si="22"/>
        <v>0</v>
      </c>
      <c r="AP62" s="5">
        <f t="shared" si="22"/>
        <v>0</v>
      </c>
      <c r="AQ62" s="5">
        <f t="shared" si="22"/>
        <v>0</v>
      </c>
      <c r="AR62" s="5">
        <f t="shared" si="22"/>
        <v>0</v>
      </c>
      <c r="AS62" s="5">
        <f t="shared" si="22"/>
        <v>0</v>
      </c>
      <c r="AT62" s="5">
        <f t="shared" si="22"/>
        <v>0</v>
      </c>
      <c r="AU62" s="5">
        <f t="shared" si="22"/>
        <v>0</v>
      </c>
      <c r="AV62" s="5">
        <f t="shared" si="22"/>
        <v>0</v>
      </c>
      <c r="AW62" s="5">
        <f t="shared" si="22"/>
        <v>0</v>
      </c>
      <c r="AX62" s="5">
        <f t="shared" si="22"/>
        <v>0</v>
      </c>
      <c r="AY62" s="5">
        <f t="shared" si="22"/>
        <v>0</v>
      </c>
    </row>
    <row r="63" spans="1:51" x14ac:dyDescent="0.2">
      <c r="A63" t="s">
        <v>697</v>
      </c>
      <c r="B63" t="s">
        <v>671</v>
      </c>
      <c r="C63" t="s">
        <v>583</v>
      </c>
      <c r="D63" s="7" t="s">
        <v>739</v>
      </c>
      <c r="E63" s="10"/>
      <c r="F63" s="15">
        <f>F54</f>
        <v>0</v>
      </c>
      <c r="G63" s="5" t="str">
        <f t="shared" ref="G63:AY63" si="23">G54</f>
        <v>InvasivePressureTransducer</v>
      </c>
      <c r="H63" s="5">
        <f t="shared" si="23"/>
        <v>0</v>
      </c>
      <c r="I63" s="5">
        <f t="shared" si="23"/>
        <v>0</v>
      </c>
      <c r="J63" s="5">
        <f t="shared" si="23"/>
        <v>0</v>
      </c>
      <c r="K63" s="5">
        <f t="shared" si="23"/>
        <v>0</v>
      </c>
      <c r="L63" s="5">
        <f t="shared" si="23"/>
        <v>0</v>
      </c>
      <c r="M63" s="5" t="str">
        <f t="shared" si="23"/>
        <v>Capno_Sensor</v>
      </c>
      <c r="N63" s="5" t="str">
        <f t="shared" si="23"/>
        <v>Capno_Sensor</v>
      </c>
      <c r="O63" s="5" t="str">
        <f t="shared" si="23"/>
        <v>-</v>
      </c>
      <c r="P63" s="5" t="str">
        <f t="shared" si="23"/>
        <v>-</v>
      </c>
      <c r="Q63" s="5" t="str">
        <f t="shared" si="23"/>
        <v>CVP_PressureSensor</v>
      </c>
      <c r="R63" s="5">
        <f t="shared" si="23"/>
        <v>0</v>
      </c>
      <c r="S63" s="5">
        <f t="shared" si="23"/>
        <v>0</v>
      </c>
      <c r="T63" s="5">
        <f t="shared" si="23"/>
        <v>0</v>
      </c>
      <c r="U63" s="5">
        <f t="shared" si="23"/>
        <v>0</v>
      </c>
      <c r="V63" s="5">
        <f t="shared" si="23"/>
        <v>0</v>
      </c>
      <c r="W63" s="5">
        <f t="shared" si="23"/>
        <v>0</v>
      </c>
      <c r="X63" s="5">
        <f t="shared" si="23"/>
        <v>0</v>
      </c>
      <c r="Y63" s="5">
        <f t="shared" si="23"/>
        <v>0</v>
      </c>
      <c r="Z63" s="5">
        <f t="shared" si="23"/>
        <v>0</v>
      </c>
      <c r="AA63" s="5" t="str">
        <f t="shared" si="23"/>
        <v>PulseOximeter_Sensor</v>
      </c>
      <c r="AB63" s="5" t="str">
        <f t="shared" si="23"/>
        <v>PulseOximeter_Sensor</v>
      </c>
      <c r="AC63" s="5" t="str">
        <f t="shared" si="23"/>
        <v>PulseOximeter_Sensor</v>
      </c>
      <c r="AD63" s="5" t="str">
        <f t="shared" si="23"/>
        <v>PulseOximeter_Sensor</v>
      </c>
      <c r="AE63" s="5" t="str">
        <f t="shared" si="23"/>
        <v>PulseOximeter_Sensor</v>
      </c>
      <c r="AF63" s="5" t="str">
        <f t="shared" si="23"/>
        <v>PulseOximeter_Sensor</v>
      </c>
      <c r="AG63" s="5">
        <f t="shared" si="23"/>
        <v>0</v>
      </c>
      <c r="AH63" s="5">
        <f t="shared" si="23"/>
        <v>0</v>
      </c>
      <c r="AI63" s="5">
        <f t="shared" si="23"/>
        <v>0</v>
      </c>
      <c r="AJ63" s="5">
        <f t="shared" si="23"/>
        <v>0</v>
      </c>
      <c r="AK63" s="5">
        <f t="shared" si="23"/>
        <v>0</v>
      </c>
      <c r="AL63" s="5">
        <f t="shared" si="23"/>
        <v>0</v>
      </c>
      <c r="AM63" s="5">
        <f t="shared" si="23"/>
        <v>0</v>
      </c>
      <c r="AN63" s="5">
        <f t="shared" si="23"/>
        <v>0</v>
      </c>
      <c r="AO63" s="5">
        <f t="shared" si="23"/>
        <v>0</v>
      </c>
      <c r="AP63" s="5">
        <f t="shared" si="23"/>
        <v>0</v>
      </c>
      <c r="AQ63" s="5">
        <f t="shared" si="23"/>
        <v>0</v>
      </c>
      <c r="AR63" s="5">
        <f t="shared" si="23"/>
        <v>0</v>
      </c>
      <c r="AS63" s="5">
        <f t="shared" si="23"/>
        <v>0</v>
      </c>
      <c r="AT63" s="5">
        <f t="shared" si="23"/>
        <v>0</v>
      </c>
      <c r="AU63" s="5">
        <f t="shared" si="23"/>
        <v>0</v>
      </c>
      <c r="AV63" s="5">
        <f t="shared" si="23"/>
        <v>0</v>
      </c>
      <c r="AW63" s="5">
        <f t="shared" si="23"/>
        <v>0</v>
      </c>
      <c r="AX63" s="5">
        <f t="shared" si="23"/>
        <v>0</v>
      </c>
      <c r="AY63" s="5">
        <f t="shared" si="23"/>
        <v>0</v>
      </c>
    </row>
    <row r="64" spans="1:51" x14ac:dyDescent="0.2">
      <c r="E64" s="10"/>
      <c r="F64" s="17"/>
    </row>
    <row r="65" spans="1:51" x14ac:dyDescent="0.2">
      <c r="A65" t="s">
        <v>698</v>
      </c>
      <c r="B65" t="s">
        <v>670</v>
      </c>
      <c r="D65" s="7" t="s">
        <v>732</v>
      </c>
      <c r="E65" s="10"/>
      <c r="F65" s="18"/>
      <c r="G65" s="13" t="s">
        <v>732</v>
      </c>
      <c r="H65" s="13" t="s">
        <v>732</v>
      </c>
      <c r="I65" s="13" t="s">
        <v>732</v>
      </c>
      <c r="J65" s="13" t="s">
        <v>732</v>
      </c>
      <c r="K65" s="13" t="s">
        <v>732</v>
      </c>
      <c r="L65" s="13" t="s">
        <v>732</v>
      </c>
      <c r="M65" s="13" t="s">
        <v>782</v>
      </c>
      <c r="N65" s="13" t="s">
        <v>782</v>
      </c>
      <c r="O65" s="13" t="s">
        <v>791</v>
      </c>
      <c r="P65" s="13" t="s">
        <v>791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 t="s">
        <v>767</v>
      </c>
      <c r="AB65" s="13" t="s">
        <v>767</v>
      </c>
      <c r="AC65" s="13" t="s">
        <v>767</v>
      </c>
      <c r="AD65" s="13" t="s">
        <v>767</v>
      </c>
      <c r="AE65" s="13" t="s">
        <v>767</v>
      </c>
      <c r="AF65" s="13" t="s">
        <v>767</v>
      </c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</row>
    <row r="66" spans="1:51" x14ac:dyDescent="0.2">
      <c r="A66" t="s">
        <v>754</v>
      </c>
      <c r="B66" t="s">
        <v>670</v>
      </c>
      <c r="D66" s="7" t="s">
        <v>755</v>
      </c>
      <c r="E66" s="10"/>
      <c r="F66" s="18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1:51" x14ac:dyDescent="0.2">
      <c r="A67" t="s">
        <v>699</v>
      </c>
      <c r="B67" t="s">
        <v>670</v>
      </c>
      <c r="D67" s="7" t="s">
        <v>742</v>
      </c>
      <c r="E67" s="10"/>
      <c r="F67" s="19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x14ac:dyDescent="0.2">
      <c r="A68" t="s">
        <v>707</v>
      </c>
      <c r="B68" t="s">
        <v>671</v>
      </c>
      <c r="C68" t="s">
        <v>577</v>
      </c>
      <c r="D68" s="7" t="s">
        <v>745</v>
      </c>
      <c r="E68" s="10"/>
      <c r="F68" s="15">
        <f>F72</f>
        <v>0</v>
      </c>
      <c r="G68" s="5" t="str">
        <f t="shared" ref="G68:AY68" si="24">G72</f>
        <v>PhilipsMonitor</v>
      </c>
      <c r="H68" s="5" t="str">
        <f t="shared" si="24"/>
        <v>PhilipsMonitor</v>
      </c>
      <c r="I68" s="5" t="str">
        <f t="shared" si="24"/>
        <v>PhilipsMonitor</v>
      </c>
      <c r="J68" s="5" t="str">
        <f t="shared" si="24"/>
        <v>PhilipsMonitor</v>
      </c>
      <c r="K68" s="5" t="str">
        <f t="shared" si="24"/>
        <v>PhilipsMonitor</v>
      </c>
      <c r="L68" s="5" t="str">
        <f t="shared" si="24"/>
        <v>PhilipsMonitor</v>
      </c>
      <c r="M68" s="5" t="str">
        <f t="shared" si="24"/>
        <v>PhilipsMonitor</v>
      </c>
      <c r="N68" s="5" t="str">
        <f t="shared" si="24"/>
        <v>PhilipsMonitor</v>
      </c>
      <c r="O68" s="5" t="str">
        <f t="shared" si="24"/>
        <v>PhilipsMonitor</v>
      </c>
      <c r="P68" s="5" t="str">
        <f t="shared" si="24"/>
        <v>PhilipsMonitor</v>
      </c>
      <c r="Q68" s="5" t="str">
        <f t="shared" si="24"/>
        <v>PhilipsMonitor</v>
      </c>
      <c r="R68" s="5" t="str">
        <f t="shared" si="24"/>
        <v>PhilipsMonitor</v>
      </c>
      <c r="S68" s="5" t="str">
        <f t="shared" si="24"/>
        <v>PhilipsMonitor</v>
      </c>
      <c r="T68" s="5" t="str">
        <f t="shared" si="24"/>
        <v>PhilipsMonitor</v>
      </c>
      <c r="U68" s="5" t="str">
        <f t="shared" si="24"/>
        <v>PhilipsMonitor</v>
      </c>
      <c r="V68" s="5" t="str">
        <f t="shared" si="24"/>
        <v>PhilipsMonitor</v>
      </c>
      <c r="W68" s="5" t="str">
        <f t="shared" si="24"/>
        <v>PhilipsMonitor</v>
      </c>
      <c r="X68" s="5" t="str">
        <f t="shared" si="24"/>
        <v>PhilipsMonitor</v>
      </c>
      <c r="Y68" s="5" t="str">
        <f t="shared" si="24"/>
        <v>PhilipsMonitor</v>
      </c>
      <c r="Z68" s="5" t="str">
        <f t="shared" si="24"/>
        <v>PhilipsMonitor</v>
      </c>
      <c r="AA68" s="5" t="str">
        <f t="shared" si="24"/>
        <v>PhilipsMonitor</v>
      </c>
      <c r="AB68" s="5" t="str">
        <f t="shared" si="24"/>
        <v>PhilipsMonitor</v>
      </c>
      <c r="AC68" s="5" t="str">
        <f t="shared" si="24"/>
        <v>PhilipsMonitor</v>
      </c>
      <c r="AD68" s="5" t="str">
        <f t="shared" si="24"/>
        <v>PhilipsMonitor</v>
      </c>
      <c r="AE68" s="5" t="str">
        <f t="shared" si="24"/>
        <v>PhilipsMonitor</v>
      </c>
      <c r="AF68" s="5" t="str">
        <f t="shared" si="24"/>
        <v>PhilipsMonitor</v>
      </c>
      <c r="AG68" s="5" t="str">
        <f t="shared" si="24"/>
        <v>PhilipsMonitor</v>
      </c>
      <c r="AH68" s="5" t="str">
        <f t="shared" si="24"/>
        <v>PhilipsMonitor</v>
      </c>
      <c r="AI68" s="5" t="str">
        <f t="shared" si="24"/>
        <v>PhilipsMonitor</v>
      </c>
      <c r="AJ68" s="5" t="str">
        <f t="shared" si="24"/>
        <v>PhilipsMonitor</v>
      </c>
      <c r="AK68" s="5" t="str">
        <f t="shared" si="24"/>
        <v>PhilipsMonitor</v>
      </c>
      <c r="AL68" s="5" t="str">
        <f t="shared" si="24"/>
        <v>PhilipsMonitor</v>
      </c>
      <c r="AM68" s="5" t="str">
        <f t="shared" si="24"/>
        <v>PhilipsMonitor</v>
      </c>
      <c r="AN68" s="5" t="str">
        <f t="shared" si="24"/>
        <v>PhilipsMonitor</v>
      </c>
      <c r="AO68" s="5" t="str">
        <f t="shared" si="24"/>
        <v>PhilipsMonitor</v>
      </c>
      <c r="AP68" s="5" t="str">
        <f t="shared" si="24"/>
        <v>PhilipsMonitor</v>
      </c>
      <c r="AQ68" s="5" t="str">
        <f t="shared" si="24"/>
        <v>PhilipsMonitor</v>
      </c>
      <c r="AR68" s="5" t="str">
        <f t="shared" si="24"/>
        <v>PhilipsMonitor</v>
      </c>
      <c r="AS68" s="5" t="str">
        <f t="shared" si="24"/>
        <v>PhilipsMonitor</v>
      </c>
      <c r="AT68" s="5" t="str">
        <f t="shared" si="24"/>
        <v>PhilipsMonitor</v>
      </c>
      <c r="AU68" s="5" t="str">
        <f t="shared" si="24"/>
        <v>PhilipsMonitor</v>
      </c>
      <c r="AV68" s="5" t="str">
        <f t="shared" si="24"/>
        <v>PhilipsMonitor</v>
      </c>
      <c r="AW68" s="5" t="str">
        <f t="shared" si="24"/>
        <v>PhilipsMonitor</v>
      </c>
      <c r="AX68" s="5" t="str">
        <f t="shared" si="24"/>
        <v>PhilipsMonitor</v>
      </c>
      <c r="AY68" s="5" t="str">
        <f t="shared" si="24"/>
        <v>PhilipsMonitor</v>
      </c>
    </row>
    <row r="69" spans="1:51" x14ac:dyDescent="0.2">
      <c r="A69" t="s">
        <v>700</v>
      </c>
      <c r="B69" t="s">
        <v>671</v>
      </c>
      <c r="C69" t="s">
        <v>579</v>
      </c>
      <c r="D69" s="7" t="s">
        <v>746</v>
      </c>
      <c r="E69" s="10"/>
      <c r="F69" s="15">
        <f>F35</f>
        <v>0</v>
      </c>
      <c r="G69" s="5" t="str">
        <f t="shared" ref="G69:AY69" si="25">G35</f>
        <v>PressureChannel</v>
      </c>
      <c r="H69" s="5" t="str">
        <f t="shared" si="25"/>
        <v>PressureChannel</v>
      </c>
      <c r="I69" s="5" t="str">
        <f t="shared" si="25"/>
        <v>PressureChannel</v>
      </c>
      <c r="J69" s="5">
        <f t="shared" si="25"/>
        <v>0</v>
      </c>
      <c r="K69" s="5">
        <f t="shared" si="25"/>
        <v>0</v>
      </c>
      <c r="L69" s="5">
        <f t="shared" si="25"/>
        <v>0</v>
      </c>
      <c r="M69" s="5">
        <f t="shared" si="25"/>
        <v>0</v>
      </c>
      <c r="N69" s="5">
        <f t="shared" si="25"/>
        <v>0</v>
      </c>
      <c r="O69" s="5" t="str">
        <f t="shared" si="25"/>
        <v>CPP_Channel</v>
      </c>
      <c r="P69" s="5" t="str">
        <f t="shared" si="25"/>
        <v>CPP_Channel</v>
      </c>
      <c r="Q69" s="5" t="str">
        <f t="shared" si="25"/>
        <v>CVP_Channel</v>
      </c>
      <c r="R69" s="5">
        <f t="shared" si="25"/>
        <v>0</v>
      </c>
      <c r="S69" s="5">
        <f t="shared" si="25"/>
        <v>0</v>
      </c>
      <c r="T69" s="5">
        <f t="shared" si="25"/>
        <v>0</v>
      </c>
      <c r="U69" s="5">
        <f t="shared" si="25"/>
        <v>0</v>
      </c>
      <c r="V69" s="5">
        <f t="shared" si="25"/>
        <v>0</v>
      </c>
      <c r="W69" s="5">
        <f t="shared" si="25"/>
        <v>0</v>
      </c>
      <c r="X69" s="5">
        <f t="shared" si="25"/>
        <v>0</v>
      </c>
      <c r="Y69" s="5">
        <f t="shared" si="25"/>
        <v>0</v>
      </c>
      <c r="Z69" s="5">
        <f t="shared" si="25"/>
        <v>0</v>
      </c>
      <c r="AA69" s="5">
        <f t="shared" si="25"/>
        <v>0</v>
      </c>
      <c r="AB69" s="5">
        <f t="shared" si="25"/>
        <v>0</v>
      </c>
      <c r="AC69" s="5">
        <f t="shared" si="25"/>
        <v>0</v>
      </c>
      <c r="AD69" s="5">
        <f t="shared" si="25"/>
        <v>0</v>
      </c>
      <c r="AE69" s="5">
        <f t="shared" si="25"/>
        <v>0</v>
      </c>
      <c r="AF69" s="5">
        <f t="shared" si="25"/>
        <v>0</v>
      </c>
      <c r="AG69" s="5">
        <f t="shared" si="25"/>
        <v>0</v>
      </c>
      <c r="AH69" s="5">
        <f t="shared" si="25"/>
        <v>0</v>
      </c>
      <c r="AI69" s="5">
        <f t="shared" si="25"/>
        <v>0</v>
      </c>
      <c r="AJ69" s="5">
        <f t="shared" si="25"/>
        <v>0</v>
      </c>
      <c r="AK69" s="5">
        <f t="shared" si="25"/>
        <v>0</v>
      </c>
      <c r="AL69" s="5">
        <f t="shared" si="25"/>
        <v>0</v>
      </c>
      <c r="AM69" s="5">
        <f t="shared" si="25"/>
        <v>0</v>
      </c>
      <c r="AN69" s="5">
        <f t="shared" si="25"/>
        <v>0</v>
      </c>
      <c r="AO69" s="5">
        <f t="shared" si="25"/>
        <v>0</v>
      </c>
      <c r="AP69" s="5">
        <f t="shared" si="25"/>
        <v>0</v>
      </c>
      <c r="AQ69" s="5">
        <f t="shared" si="25"/>
        <v>0</v>
      </c>
      <c r="AR69" s="5">
        <f t="shared" si="25"/>
        <v>0</v>
      </c>
      <c r="AS69" s="5">
        <f t="shared" si="25"/>
        <v>0</v>
      </c>
      <c r="AT69" s="5">
        <f t="shared" si="25"/>
        <v>0</v>
      </c>
      <c r="AU69" s="5">
        <f t="shared" si="25"/>
        <v>0</v>
      </c>
      <c r="AV69" s="5">
        <f t="shared" si="25"/>
        <v>0</v>
      </c>
      <c r="AW69" s="5">
        <f t="shared" si="25"/>
        <v>0</v>
      </c>
      <c r="AX69" s="5">
        <f t="shared" si="25"/>
        <v>0</v>
      </c>
      <c r="AY69" s="5">
        <f t="shared" si="25"/>
        <v>0</v>
      </c>
    </row>
    <row r="70" spans="1:51" x14ac:dyDescent="0.2">
      <c r="A70" t="s">
        <v>706</v>
      </c>
      <c r="B70" t="s">
        <v>671</v>
      </c>
      <c r="C70" t="s">
        <v>584</v>
      </c>
      <c r="D70" s="7" t="s">
        <v>743</v>
      </c>
      <c r="E70" s="10"/>
      <c r="F70" s="15">
        <f>F61</f>
        <v>0</v>
      </c>
      <c r="G70" s="5">
        <f t="shared" ref="G70:AY70" si="26">G61</f>
        <v>0</v>
      </c>
      <c r="H70" s="5">
        <f t="shared" si="26"/>
        <v>0</v>
      </c>
      <c r="I70" s="5">
        <f t="shared" si="26"/>
        <v>0</v>
      </c>
      <c r="J70" s="5">
        <f t="shared" si="26"/>
        <v>0</v>
      </c>
      <c r="K70" s="5">
        <f t="shared" si="26"/>
        <v>0</v>
      </c>
      <c r="L70" s="5">
        <f t="shared" si="26"/>
        <v>0</v>
      </c>
      <c r="M70" s="5">
        <f t="shared" si="26"/>
        <v>0</v>
      </c>
      <c r="N70" s="5">
        <f t="shared" si="26"/>
        <v>0</v>
      </c>
      <c r="O70" s="5">
        <f t="shared" si="26"/>
        <v>0</v>
      </c>
      <c r="P70" s="5">
        <f t="shared" si="26"/>
        <v>0</v>
      </c>
      <c r="Q70" s="5">
        <f t="shared" si="26"/>
        <v>0</v>
      </c>
      <c r="R70" s="5">
        <f t="shared" si="26"/>
        <v>0</v>
      </c>
      <c r="S70" s="5">
        <f t="shared" si="26"/>
        <v>0</v>
      </c>
      <c r="T70" s="5">
        <f t="shared" si="26"/>
        <v>0</v>
      </c>
      <c r="U70" s="5">
        <f t="shared" si="26"/>
        <v>0</v>
      </c>
      <c r="V70" s="5">
        <f t="shared" si="26"/>
        <v>0</v>
      </c>
      <c r="W70" s="5">
        <f t="shared" si="26"/>
        <v>0</v>
      </c>
      <c r="X70" s="5">
        <f t="shared" si="26"/>
        <v>0</v>
      </c>
      <c r="Y70" s="5">
        <f t="shared" si="26"/>
        <v>0</v>
      </c>
      <c r="Z70" s="5">
        <f t="shared" si="26"/>
        <v>0</v>
      </c>
      <c r="AA70" s="5">
        <f t="shared" si="26"/>
        <v>0</v>
      </c>
      <c r="AB70" s="5">
        <f t="shared" si="26"/>
        <v>0</v>
      </c>
      <c r="AC70" s="5">
        <f t="shared" si="26"/>
        <v>0</v>
      </c>
      <c r="AD70" s="5">
        <f t="shared" si="26"/>
        <v>0</v>
      </c>
      <c r="AE70" s="5">
        <f t="shared" si="26"/>
        <v>0</v>
      </c>
      <c r="AF70" s="5">
        <f t="shared" si="26"/>
        <v>0</v>
      </c>
      <c r="AG70" s="5">
        <f t="shared" si="26"/>
        <v>0</v>
      </c>
      <c r="AH70" s="5">
        <f t="shared" si="26"/>
        <v>0</v>
      </c>
      <c r="AI70" s="5">
        <f t="shared" si="26"/>
        <v>0</v>
      </c>
      <c r="AJ70" s="5">
        <f t="shared" si="26"/>
        <v>0</v>
      </c>
      <c r="AK70" s="5">
        <f t="shared" si="26"/>
        <v>0</v>
      </c>
      <c r="AL70" s="5">
        <f t="shared" si="26"/>
        <v>0</v>
      </c>
      <c r="AM70" s="5">
        <f t="shared" si="26"/>
        <v>0</v>
      </c>
      <c r="AN70" s="5">
        <f t="shared" si="26"/>
        <v>0</v>
      </c>
      <c r="AO70" s="5">
        <f t="shared" si="26"/>
        <v>0</v>
      </c>
      <c r="AP70" s="5">
        <f t="shared" si="26"/>
        <v>0</v>
      </c>
      <c r="AQ70" s="5">
        <f t="shared" si="26"/>
        <v>0</v>
      </c>
      <c r="AR70" s="5">
        <f t="shared" si="26"/>
        <v>0</v>
      </c>
      <c r="AS70" s="5">
        <f t="shared" si="26"/>
        <v>0</v>
      </c>
      <c r="AT70" s="5">
        <f t="shared" si="26"/>
        <v>0</v>
      </c>
      <c r="AU70" s="5">
        <f t="shared" si="26"/>
        <v>0</v>
      </c>
      <c r="AV70" s="5">
        <f t="shared" si="26"/>
        <v>0</v>
      </c>
      <c r="AW70" s="5">
        <f t="shared" si="26"/>
        <v>0</v>
      </c>
      <c r="AX70" s="5">
        <f t="shared" si="26"/>
        <v>0</v>
      </c>
      <c r="AY70" s="5">
        <f t="shared" si="26"/>
        <v>0</v>
      </c>
    </row>
    <row r="71" spans="1:51" x14ac:dyDescent="0.2">
      <c r="E71" s="10"/>
      <c r="F71" s="17"/>
    </row>
    <row r="72" spans="1:51" x14ac:dyDescent="0.2">
      <c r="A72" t="s">
        <v>701</v>
      </c>
      <c r="B72" t="s">
        <v>670</v>
      </c>
      <c r="D72" s="7" t="s">
        <v>745</v>
      </c>
      <c r="E72" s="10"/>
      <c r="F72" s="18"/>
      <c r="G72" s="13" t="s">
        <v>745</v>
      </c>
      <c r="H72" s="13" t="s">
        <v>745</v>
      </c>
      <c r="I72" s="13" t="s">
        <v>745</v>
      </c>
      <c r="J72" s="13" t="s">
        <v>745</v>
      </c>
      <c r="K72" s="13" t="s">
        <v>745</v>
      </c>
      <c r="L72" s="13" t="s">
        <v>745</v>
      </c>
      <c r="M72" s="13" t="s">
        <v>745</v>
      </c>
      <c r="N72" s="13" t="s">
        <v>745</v>
      </c>
      <c r="O72" s="13" t="s">
        <v>745</v>
      </c>
      <c r="P72" s="13" t="s">
        <v>745</v>
      </c>
      <c r="Q72" s="13" t="s">
        <v>745</v>
      </c>
      <c r="R72" s="13" t="s">
        <v>745</v>
      </c>
      <c r="S72" s="13" t="s">
        <v>745</v>
      </c>
      <c r="T72" s="13" t="s">
        <v>745</v>
      </c>
      <c r="U72" s="13" t="s">
        <v>745</v>
      </c>
      <c r="V72" s="13" t="s">
        <v>745</v>
      </c>
      <c r="W72" s="13" t="s">
        <v>745</v>
      </c>
      <c r="X72" s="13" t="s">
        <v>745</v>
      </c>
      <c r="Y72" s="13" t="s">
        <v>745</v>
      </c>
      <c r="Z72" s="13" t="s">
        <v>745</v>
      </c>
      <c r="AA72" s="13" t="s">
        <v>745</v>
      </c>
      <c r="AB72" s="13" t="s">
        <v>745</v>
      </c>
      <c r="AC72" s="13" t="s">
        <v>745</v>
      </c>
      <c r="AD72" s="13" t="s">
        <v>745</v>
      </c>
      <c r="AE72" s="13" t="s">
        <v>745</v>
      </c>
      <c r="AF72" s="13" t="s">
        <v>745</v>
      </c>
      <c r="AG72" s="13" t="s">
        <v>745</v>
      </c>
      <c r="AH72" s="13" t="s">
        <v>745</v>
      </c>
      <c r="AI72" s="13" t="s">
        <v>745</v>
      </c>
      <c r="AJ72" s="13" t="s">
        <v>745</v>
      </c>
      <c r="AK72" s="13" t="s">
        <v>745</v>
      </c>
      <c r="AL72" s="13" t="s">
        <v>745</v>
      </c>
      <c r="AM72" s="13" t="s">
        <v>745</v>
      </c>
      <c r="AN72" s="13" t="s">
        <v>745</v>
      </c>
      <c r="AO72" s="13" t="s">
        <v>745</v>
      </c>
      <c r="AP72" s="13" t="s">
        <v>745</v>
      </c>
      <c r="AQ72" s="13" t="s">
        <v>745</v>
      </c>
      <c r="AR72" s="13" t="s">
        <v>745</v>
      </c>
      <c r="AS72" s="13" t="s">
        <v>745</v>
      </c>
      <c r="AT72" s="13" t="s">
        <v>745</v>
      </c>
      <c r="AU72" s="13" t="s">
        <v>745</v>
      </c>
      <c r="AV72" s="13" t="s">
        <v>745</v>
      </c>
      <c r="AW72" s="13" t="s">
        <v>745</v>
      </c>
      <c r="AX72" s="13" t="s">
        <v>745</v>
      </c>
      <c r="AY72" s="13" t="s">
        <v>745</v>
      </c>
    </row>
    <row r="73" spans="1:51" x14ac:dyDescent="0.2">
      <c r="A73" t="s">
        <v>702</v>
      </c>
      <c r="B73" t="s">
        <v>670</v>
      </c>
      <c r="D73" s="7" t="s">
        <v>745</v>
      </c>
      <c r="E73" s="10"/>
      <c r="F73" s="19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x14ac:dyDescent="0.2">
      <c r="A74" t="s">
        <v>703</v>
      </c>
      <c r="B74" t="s">
        <v>670</v>
      </c>
      <c r="D74" s="7" t="s">
        <v>747</v>
      </c>
      <c r="E74" s="10"/>
      <c r="F74" s="19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x14ac:dyDescent="0.2">
      <c r="A75" t="s">
        <v>704</v>
      </c>
      <c r="B75" t="s">
        <v>670</v>
      </c>
      <c r="D75" s="7" t="s">
        <v>742</v>
      </c>
      <c r="E75" s="10"/>
      <c r="F75" s="19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x14ac:dyDescent="0.2">
      <c r="A76" t="s">
        <v>705</v>
      </c>
      <c r="B76" t="s">
        <v>671</v>
      </c>
      <c r="C76" t="s">
        <v>578</v>
      </c>
      <c r="D76" s="7" t="s">
        <v>732</v>
      </c>
      <c r="E76" s="10"/>
      <c r="F76" s="20">
        <f>F65</f>
        <v>0</v>
      </c>
      <c r="G76" s="5" t="str">
        <f t="shared" ref="G76:AY76" si="27">G65</f>
        <v>InvasivePressureModule</v>
      </c>
      <c r="H76" s="5" t="str">
        <f t="shared" si="27"/>
        <v>InvasivePressureModule</v>
      </c>
      <c r="I76" s="5" t="str">
        <f t="shared" si="27"/>
        <v>InvasivePressureModule</v>
      </c>
      <c r="J76" s="5" t="str">
        <f t="shared" si="27"/>
        <v>InvasivePressureModule</v>
      </c>
      <c r="K76" s="5" t="str">
        <f t="shared" si="27"/>
        <v>InvasivePressureModule</v>
      </c>
      <c r="L76" s="5" t="str">
        <f t="shared" si="27"/>
        <v>InvasivePressureModule</v>
      </c>
      <c r="M76" s="5" t="str">
        <f t="shared" si="27"/>
        <v>Capno_Module</v>
      </c>
      <c r="N76" s="5" t="str">
        <f t="shared" si="27"/>
        <v>Capno_Module</v>
      </c>
      <c r="O76" s="5" t="str">
        <f t="shared" si="27"/>
        <v>HemodynamicsModule</v>
      </c>
      <c r="P76" s="5" t="str">
        <f t="shared" si="27"/>
        <v>HemodynamicsModule</v>
      </c>
      <c r="Q76" s="5">
        <f t="shared" si="27"/>
        <v>0</v>
      </c>
      <c r="R76" s="5">
        <f t="shared" si="27"/>
        <v>0</v>
      </c>
      <c r="S76" s="5">
        <f t="shared" si="27"/>
        <v>0</v>
      </c>
      <c r="T76" s="5">
        <f t="shared" si="27"/>
        <v>0</v>
      </c>
      <c r="U76" s="5">
        <f t="shared" si="27"/>
        <v>0</v>
      </c>
      <c r="V76" s="5">
        <f t="shared" si="27"/>
        <v>0</v>
      </c>
      <c r="W76" s="5">
        <f t="shared" si="27"/>
        <v>0</v>
      </c>
      <c r="X76" s="5">
        <f t="shared" si="27"/>
        <v>0</v>
      </c>
      <c r="Y76" s="5">
        <f t="shared" si="27"/>
        <v>0</v>
      </c>
      <c r="Z76" s="5">
        <f t="shared" si="27"/>
        <v>0</v>
      </c>
      <c r="AA76" s="5" t="str">
        <f t="shared" si="27"/>
        <v>PulseOximetryModule</v>
      </c>
      <c r="AB76" s="5" t="str">
        <f t="shared" si="27"/>
        <v>PulseOximetryModule</v>
      </c>
      <c r="AC76" s="5" t="str">
        <f t="shared" si="27"/>
        <v>PulseOximetryModule</v>
      </c>
      <c r="AD76" s="5" t="str">
        <f t="shared" si="27"/>
        <v>PulseOximetryModule</v>
      </c>
      <c r="AE76" s="5" t="str">
        <f t="shared" si="27"/>
        <v>PulseOximetryModule</v>
      </c>
      <c r="AF76" s="5" t="str">
        <f t="shared" si="27"/>
        <v>PulseOximetryModule</v>
      </c>
      <c r="AG76" s="5">
        <f t="shared" si="27"/>
        <v>0</v>
      </c>
      <c r="AH76" s="5">
        <f t="shared" si="27"/>
        <v>0</v>
      </c>
      <c r="AI76" s="5">
        <f t="shared" si="27"/>
        <v>0</v>
      </c>
      <c r="AJ76" s="5">
        <f t="shared" si="27"/>
        <v>0</v>
      </c>
      <c r="AK76" s="5">
        <f t="shared" si="27"/>
        <v>0</v>
      </c>
      <c r="AL76" s="5">
        <f t="shared" si="27"/>
        <v>0</v>
      </c>
      <c r="AM76" s="5">
        <f t="shared" si="27"/>
        <v>0</v>
      </c>
      <c r="AN76" s="5">
        <f t="shared" si="27"/>
        <v>0</v>
      </c>
      <c r="AO76" s="5">
        <f t="shared" si="27"/>
        <v>0</v>
      </c>
      <c r="AP76" s="5">
        <f t="shared" si="27"/>
        <v>0</v>
      </c>
      <c r="AQ76" s="5">
        <f t="shared" si="27"/>
        <v>0</v>
      </c>
      <c r="AR76" s="5">
        <f t="shared" si="27"/>
        <v>0</v>
      </c>
      <c r="AS76" s="5">
        <f t="shared" si="27"/>
        <v>0</v>
      </c>
      <c r="AT76" s="5">
        <f t="shared" si="27"/>
        <v>0</v>
      </c>
      <c r="AU76" s="5">
        <f t="shared" si="27"/>
        <v>0</v>
      </c>
      <c r="AV76" s="5">
        <f t="shared" si="27"/>
        <v>0</v>
      </c>
      <c r="AW76" s="5">
        <f t="shared" si="27"/>
        <v>0</v>
      </c>
      <c r="AX76" s="5">
        <f t="shared" si="27"/>
        <v>0</v>
      </c>
      <c r="AY76" s="5">
        <f t="shared" si="27"/>
        <v>0</v>
      </c>
    </row>
    <row r="82" spans="3:46" x14ac:dyDescent="0.2">
      <c r="C82" t="s">
        <v>649</v>
      </c>
      <c r="D82" t="s">
        <v>670</v>
      </c>
      <c r="F82" cm="1">
        <f t="array" ref="F82">_xlfn.UNIQUE(G3:AA3,TRUE,FALSE)</f>
        <v>0</v>
      </c>
    </row>
    <row r="83" spans="3:46" x14ac:dyDescent="0.2">
      <c r="C83" t="s">
        <v>650</v>
      </c>
      <c r="D83" t="s">
        <v>671</v>
      </c>
      <c r="F83" t="str" cm="1">
        <f t="array" ref="F83:H83">_xlfn.UNIQUE(G4:AA4,TRUE,FALSE)</f>
        <v>Cardiovascular</v>
      </c>
      <c r="G83" t="str">
        <v>Pulmonary</v>
      </c>
      <c r="H83">
        <v>0</v>
      </c>
    </row>
    <row r="84" spans="3:46" x14ac:dyDescent="0.2">
      <c r="C84" t="s">
        <v>651</v>
      </c>
      <c r="D84" t="s">
        <v>670</v>
      </c>
      <c r="F84" cm="1">
        <f t="array" ref="F84">_xlfn.UNIQUE(G5:AA5,TRUE,FALSE)</f>
        <v>0</v>
      </c>
    </row>
    <row r="85" spans="3:46" x14ac:dyDescent="0.2">
      <c r="D85"/>
      <c r="F85" cm="1">
        <f t="array" ref="F85">_xlfn.UNIQUE(G6:AA6,TRUE,FALSE)</f>
        <v>0</v>
      </c>
    </row>
    <row r="86" spans="3:46" x14ac:dyDescent="0.2">
      <c r="C86" t="s">
        <v>653</v>
      </c>
      <c r="D86" t="s">
        <v>670</v>
      </c>
      <c r="F86" t="str" cm="1">
        <f t="array" ref="F86:H86">_xlfn.UNIQUE(G7:AA7,TRUE,FALSE)</f>
        <v>Cardiovascular</v>
      </c>
      <c r="G86" t="str">
        <v>Pulmonary</v>
      </c>
      <c r="H86">
        <v>0</v>
      </c>
    </row>
    <row r="87" spans="3:46" x14ac:dyDescent="0.2">
      <c r="C87" t="s">
        <v>652</v>
      </c>
      <c r="D87" t="s">
        <v>671</v>
      </c>
      <c r="F87" t="str" cm="1">
        <f t="array" ref="F87:H87">_xlfn.UNIQUE(G8:AA8,TRUE,FALSE)</f>
        <v>Vasculature</v>
      </c>
      <c r="G87" t="str">
        <v>Lungs</v>
      </c>
      <c r="H87">
        <v>0</v>
      </c>
    </row>
    <row r="88" spans="3:46" x14ac:dyDescent="0.2">
      <c r="C88" t="s">
        <v>654</v>
      </c>
      <c r="D88" t="s">
        <v>670</v>
      </c>
      <c r="F88" cm="1">
        <f t="array" ref="F88">_xlfn.UNIQUE(G9:AA9,TRUE,FALSE)</f>
        <v>0</v>
      </c>
    </row>
    <row r="89" spans="3:46" x14ac:dyDescent="0.2">
      <c r="C89" t="s">
        <v>655</v>
      </c>
      <c r="D89" t="s">
        <v>670</v>
      </c>
      <c r="F89" cm="1">
        <f t="array" ref="F89">_xlfn.UNIQUE(G10:AA10,TRUE,FALSE)</f>
        <v>0</v>
      </c>
    </row>
    <row r="90" spans="3:46" x14ac:dyDescent="0.2">
      <c r="D90"/>
      <c r="F90" cm="1">
        <f t="array" ref="F90">_xlfn.UNIQUE(G11:AA11,TRUE,FALSE)</f>
        <v>0</v>
      </c>
    </row>
    <row r="91" spans="3:46" x14ac:dyDescent="0.2">
      <c r="C91" t="s">
        <v>656</v>
      </c>
      <c r="D91" t="s">
        <v>670</v>
      </c>
      <c r="F91" t="str" cm="1">
        <f t="array" ref="F91:H91">_xlfn.UNIQUE(G12:AA12,TRUE,FALSE)</f>
        <v>Vasculature</v>
      </c>
      <c r="G91" t="str">
        <v>Lungs</v>
      </c>
      <c r="H91">
        <v>0</v>
      </c>
    </row>
    <row r="92" spans="3:46" x14ac:dyDescent="0.2">
      <c r="C92" t="s">
        <v>657</v>
      </c>
      <c r="D92" t="s">
        <v>671</v>
      </c>
      <c r="F92" t="str" cm="1">
        <f t="array" ref="F92:K92">_xlfn.UNIQUE(G13:AA13,TRUE,FALSE)</f>
        <v>Systemic pressure</v>
      </c>
      <c r="G92" t="str">
        <v>Pulmonary Ventilation</v>
      </c>
      <c r="H92" t="str">
        <v>Systemic perfusion</v>
      </c>
      <c r="I92" t="str">
        <v>VenousReturn</v>
      </c>
      <c r="J92">
        <v>0</v>
      </c>
      <c r="K92" t="str">
        <v>pulm_oxygenation</v>
      </c>
    </row>
    <row r="93" spans="3:46" x14ac:dyDescent="0.2">
      <c r="C93" t="s">
        <v>658</v>
      </c>
      <c r="D93" t="s">
        <v>670</v>
      </c>
      <c r="F93" cm="1">
        <f t="array" ref="F93">_xlfn.UNIQUE(G14:AA14,TRUE,FALSE)</f>
        <v>0</v>
      </c>
    </row>
    <row r="94" spans="3:46" x14ac:dyDescent="0.2">
      <c r="C94" t="s">
        <v>659</v>
      </c>
      <c r="D94" t="s">
        <v>670</v>
      </c>
      <c r="F94" cm="1">
        <f t="array" ref="F94">_xlfn.UNIQUE(G15:AA15,TRUE,FALSE)</f>
        <v>0</v>
      </c>
    </row>
    <row r="95" spans="3:46" x14ac:dyDescent="0.2">
      <c r="D95"/>
      <c r="F95" cm="1">
        <f t="array" ref="F95">_xlfn.UNIQUE(G16:AA16,TRUE,FALSE)</f>
        <v>0</v>
      </c>
    </row>
    <row r="96" spans="3:46" x14ac:dyDescent="0.2">
      <c r="C96" t="s">
        <v>660</v>
      </c>
      <c r="D96" t="s">
        <v>670</v>
      </c>
      <c r="F96" t="str" cm="1">
        <f t="array" ref="F96:K96">_xlfn.UNIQUE(G17:AA17,TRUE,FALSE)</f>
        <v>Systemic pressure</v>
      </c>
      <c r="G96" t="str">
        <v>Pulmonary Ventilation</v>
      </c>
      <c r="H96" t="str">
        <v>Systemic perfusion</v>
      </c>
      <c r="I96" t="str">
        <v>VenousReturn</v>
      </c>
      <c r="J96">
        <v>0</v>
      </c>
      <c r="K96" t="str">
        <v>pulm_oxygenation</v>
      </c>
      <c r="AS96">
        <v>124</v>
      </c>
      <c r="AT96" t="s">
        <v>197</v>
      </c>
    </row>
    <row r="97" spans="3:46" x14ac:dyDescent="0.2">
      <c r="C97" t="s">
        <v>674</v>
      </c>
      <c r="D97" s="3" t="s">
        <v>671</v>
      </c>
      <c r="F97" t="str" cm="1">
        <f t="array" ref="F97:L97">_xlfn.UNIQUE(G18:AA18,TRUE,FALSE)</f>
        <v>AorticPressure</v>
      </c>
      <c r="G97" t="str">
        <v>Aortic pressure</v>
      </c>
      <c r="H97" t="str">
        <v>Respiratory Rate</v>
      </c>
      <c r="I97" t="str">
        <v>CerebralPerfusionPressure</v>
      </c>
      <c r="J97" t="str">
        <v>CentralVenousPressure_Property</v>
      </c>
      <c r="K97">
        <v>0</v>
      </c>
      <c r="L97" t="str">
        <v>SaO2</v>
      </c>
      <c r="AS97">
        <v>125</v>
      </c>
      <c r="AT97" t="s">
        <v>200</v>
      </c>
    </row>
    <row r="98" spans="3:46" x14ac:dyDescent="0.2">
      <c r="C98" t="s">
        <v>672</v>
      </c>
      <c r="D98" s="3" t="s">
        <v>671</v>
      </c>
      <c r="F98" cm="1">
        <f t="array" ref="F98">_xlfn.UNIQUE(G19:AA19,TRUE,FALSE)</f>
        <v>0</v>
      </c>
      <c r="AS98">
        <v>126</v>
      </c>
      <c r="AT98" t="s">
        <v>201</v>
      </c>
    </row>
    <row r="99" spans="3:46" x14ac:dyDescent="0.2">
      <c r="C99" t="s">
        <v>661</v>
      </c>
      <c r="D99" t="s">
        <v>670</v>
      </c>
      <c r="F99" cm="1">
        <f t="array" ref="F99">_xlfn.UNIQUE(G20:AA20,TRUE,FALSE)</f>
        <v>0</v>
      </c>
      <c r="AS99">
        <v>127</v>
      </c>
      <c r="AT99" t="s">
        <v>202</v>
      </c>
    </row>
    <row r="100" spans="3:46" x14ac:dyDescent="0.2">
      <c r="D100"/>
      <c r="F100" cm="1">
        <f t="array" ref="F100">_xlfn.UNIQUE(G21:AA21,TRUE,FALSE)</f>
        <v>0</v>
      </c>
      <c r="AS100">
        <v>128</v>
      </c>
      <c r="AT100" t="s">
        <v>203</v>
      </c>
    </row>
    <row r="101" spans="3:46" x14ac:dyDescent="0.2">
      <c r="C101" t="s">
        <v>662</v>
      </c>
      <c r="D101" t="s">
        <v>670</v>
      </c>
      <c r="F101" t="str" cm="1">
        <f t="array" ref="F101:L101">_xlfn.UNIQUE(G22:AA22,TRUE,FALSE)</f>
        <v>AorticPressure</v>
      </c>
      <c r="G101" t="str">
        <v>Aortic pressure</v>
      </c>
      <c r="H101" t="str">
        <v>Respiratory Rate</v>
      </c>
      <c r="I101" t="str">
        <v>CerebralPerfusionPressure</v>
      </c>
      <c r="J101" t="str">
        <v>CentralVenousPressure_Property</v>
      </c>
      <c r="K101">
        <v>0</v>
      </c>
      <c r="L101" t="str">
        <v>SaO2</v>
      </c>
      <c r="AS101">
        <v>129</v>
      </c>
      <c r="AT101" t="s">
        <v>204</v>
      </c>
    </row>
    <row r="102" spans="3:46" x14ac:dyDescent="0.2">
      <c r="C102" t="s">
        <v>675</v>
      </c>
      <c r="D102" s="3" t="s">
        <v>671</v>
      </c>
      <c r="F102" t="str" cm="1">
        <f t="array" ref="F102:K102">_xlfn.UNIQUE(G23:AA23,TRUE,FALSE)</f>
        <v>Systemic pressure</v>
      </c>
      <c r="G102" t="str">
        <v>Pulmonary Ventilation</v>
      </c>
      <c r="H102" t="str">
        <v>Systemic perfusion</v>
      </c>
      <c r="I102" t="str">
        <v>VenousReturn</v>
      </c>
      <c r="J102">
        <v>0</v>
      </c>
      <c r="K102" t="str">
        <v>pulm_oxygenation</v>
      </c>
      <c r="AS102">
        <v>121</v>
      </c>
      <c r="AT102" t="s">
        <v>205</v>
      </c>
    </row>
    <row r="103" spans="3:46" x14ac:dyDescent="0.2">
      <c r="C103" t="s">
        <v>673</v>
      </c>
      <c r="D103" t="s">
        <v>670</v>
      </c>
      <c r="F103" cm="1">
        <f t="array" ref="F103">_xlfn.UNIQUE(G24:AA24,TRUE,FALSE)</f>
        <v>0</v>
      </c>
      <c r="AS103">
        <v>122</v>
      </c>
      <c r="AT103" t="s">
        <v>207</v>
      </c>
    </row>
    <row r="104" spans="3:46" x14ac:dyDescent="0.2">
      <c r="C104" t="s">
        <v>663</v>
      </c>
      <c r="D104" t="s">
        <v>670</v>
      </c>
      <c r="F104" cm="1">
        <f t="array" ref="F104">_xlfn.UNIQUE(G25:AA25,TRUE,FALSE)</f>
        <v>0</v>
      </c>
      <c r="AS104">
        <v>123</v>
      </c>
      <c r="AT104" t="s">
        <v>208</v>
      </c>
    </row>
    <row r="105" spans="3:46" x14ac:dyDescent="0.2">
      <c r="C105" t="s">
        <v>664</v>
      </c>
      <c r="D105" s="3" t="s">
        <v>671</v>
      </c>
      <c r="F105" t="str" cm="1">
        <f t="array" ref="F105:K105">_xlfn.UNIQUE(G26:AA26,TRUE,FALSE)</f>
        <v>AorticPressure_Metric</v>
      </c>
      <c r="G105" t="str">
        <v>Airway_RespiratoryRate_Metric</v>
      </c>
      <c r="H105" t="str">
        <v>CerebralPerfusion_Metric</v>
      </c>
      <c r="I105" t="str">
        <v>CVD_metric</v>
      </c>
      <c r="J105">
        <v>0</v>
      </c>
      <c r="K105" t="str">
        <v>SpO2_metric</v>
      </c>
      <c r="AS105">
        <v>130</v>
      </c>
      <c r="AT105" t="s">
        <v>209</v>
      </c>
    </row>
    <row r="106" spans="3:46" x14ac:dyDescent="0.2">
      <c r="D106"/>
      <c r="F106" cm="1">
        <f t="array" ref="F106">_xlfn.UNIQUE(G27:AA27,TRUE,FALSE)</f>
        <v>0</v>
      </c>
      <c r="AS106">
        <v>131</v>
      </c>
      <c r="AT106" t="s">
        <v>211</v>
      </c>
    </row>
    <row r="107" spans="3:46" x14ac:dyDescent="0.2">
      <c r="C107" t="s">
        <v>665</v>
      </c>
      <c r="D107" t="s">
        <v>670</v>
      </c>
      <c r="F107" t="str" cm="1">
        <f t="array" ref="F107:K107">_xlfn.UNIQUE(G28:AA28,TRUE,FALSE)</f>
        <v>AorticPressure_Metric</v>
      </c>
      <c r="G107" t="str">
        <v>Airway_RespiratoryRate_Metric</v>
      </c>
      <c r="H107" t="str">
        <v>CerebralPerfusion_Metric</v>
      </c>
      <c r="I107" t="str">
        <v>CVD_metric</v>
      </c>
      <c r="J107">
        <v>0</v>
      </c>
      <c r="K107" t="str">
        <v>SpO2_metric</v>
      </c>
      <c r="AS107">
        <v>132</v>
      </c>
      <c r="AT107" t="s">
        <v>213</v>
      </c>
    </row>
    <row r="108" spans="3:46" x14ac:dyDescent="0.2">
      <c r="C108" t="s">
        <v>666</v>
      </c>
      <c r="D108" t="s">
        <v>670</v>
      </c>
      <c r="F108" t="str" cm="1">
        <f t="array" ref="F108:K108">_xlfn.UNIQUE(G29:AA29,TRUE,FALSE)</f>
        <v>Aorta</v>
      </c>
      <c r="G108" t="str">
        <v>Airway</v>
      </c>
      <c r="H108" t="str">
        <v>Brain</v>
      </c>
      <c r="I108" t="str">
        <v>UpperVenaCava</v>
      </c>
      <c r="J108">
        <v>0</v>
      </c>
      <c r="K108" t="str">
        <v>left</v>
      </c>
      <c r="AS108">
        <v>133</v>
      </c>
      <c r="AT108" t="s">
        <v>215</v>
      </c>
    </row>
    <row r="109" spans="3:46" x14ac:dyDescent="0.2">
      <c r="C109" t="s">
        <v>669</v>
      </c>
      <c r="D109" t="s">
        <v>670</v>
      </c>
      <c r="F109" t="str" cm="1">
        <f t="array" ref="F109:I109">_xlfn.UNIQUE(G30:AA30,TRUE,FALSE)</f>
        <v>Unknown</v>
      </c>
      <c r="G109" t="str">
        <v>Mean</v>
      </c>
      <c r="H109" t="str">
        <v>Systolic</v>
      </c>
      <c r="I109">
        <v>0</v>
      </c>
      <c r="AS109">
        <v>134</v>
      </c>
      <c r="AT109" t="s">
        <v>217</v>
      </c>
    </row>
    <row r="110" spans="3:46" x14ac:dyDescent="0.2">
      <c r="C110" t="s">
        <v>752</v>
      </c>
      <c r="D110" s="3" t="s">
        <v>671</v>
      </c>
      <c r="F110" t="str" cm="1">
        <f t="array" ref="F110:K110">_xlfn.UNIQUE(G31:AA31,TRUE,FALSE)</f>
        <v>PressureWaveformAnalysis</v>
      </c>
      <c r="G110" t="str">
        <v>RF_CO2_WaveformAnalysis</v>
      </c>
      <c r="H110" t="str">
        <v>CPP_Computation</v>
      </c>
      <c r="I110" t="str">
        <v>VenousPressure_process</v>
      </c>
      <c r="J110">
        <v>0</v>
      </c>
      <c r="K110" t="str">
        <v>SpO2_analysis</v>
      </c>
      <c r="AS110">
        <v>140</v>
      </c>
      <c r="AT110" t="s">
        <v>220</v>
      </c>
    </row>
    <row r="111" spans="3:46" x14ac:dyDescent="0.2">
      <c r="C111" t="s">
        <v>667</v>
      </c>
      <c r="D111" s="3" t="s">
        <v>671</v>
      </c>
      <c r="F111" t="str" cm="1">
        <f t="array" ref="F111:L111">_xlfn.UNIQUE(G32:AA32,TRUE,FALSE)</f>
        <v>AorticPressure</v>
      </c>
      <c r="G111" t="str">
        <v>Aortic pressure</v>
      </c>
      <c r="H111" t="str">
        <v>Respiratory Rate</v>
      </c>
      <c r="I111" t="str">
        <v>CerebralPerfusionPressure</v>
      </c>
      <c r="J111" t="str">
        <v>CentralVenousPressure_Property</v>
      </c>
      <c r="K111">
        <v>0</v>
      </c>
      <c r="L111" t="str">
        <v>SaO2</v>
      </c>
      <c r="AS111">
        <v>141</v>
      </c>
      <c r="AT111" t="s">
        <v>223</v>
      </c>
    </row>
    <row r="112" spans="3:46" x14ac:dyDescent="0.2">
      <c r="C112" t="s">
        <v>668</v>
      </c>
      <c r="D112" t="s">
        <v>670</v>
      </c>
      <c r="F112" cm="1">
        <f t="array" ref="F112:H112">_xlfn.UNIQUE(G33:AA33,TRUE,FALSE)</f>
        <v>0</v>
      </c>
      <c r="G112" t="str">
        <v>High</v>
      </c>
      <c r="H112" t="str">
        <v>Low</v>
      </c>
      <c r="AS112">
        <v>151</v>
      </c>
      <c r="AT112" t="s">
        <v>235</v>
      </c>
    </row>
    <row r="113" spans="3:46" x14ac:dyDescent="0.2">
      <c r="D113"/>
      <c r="F113" cm="1">
        <f t="array" ref="F113">_xlfn.UNIQUE(G34:AA34,TRUE,FALSE)</f>
        <v>0</v>
      </c>
      <c r="AS113">
        <v>158</v>
      </c>
      <c r="AT113" t="s">
        <v>242</v>
      </c>
    </row>
    <row r="114" spans="3:46" x14ac:dyDescent="0.2">
      <c r="C114" t="s">
        <v>676</v>
      </c>
      <c r="D114" t="s">
        <v>670</v>
      </c>
      <c r="F114" t="str" cm="1">
        <f t="array" ref="F114:I114">_xlfn.UNIQUE(G35:AA35,TRUE,FALSE)</f>
        <v>PressureChannel</v>
      </c>
      <c r="G114">
        <v>0</v>
      </c>
      <c r="H114" t="str">
        <v>CPP_Channel</v>
      </c>
      <c r="I114" t="str">
        <v>CVP_Channel</v>
      </c>
      <c r="AS114">
        <v>162</v>
      </c>
      <c r="AT114" t="s">
        <v>246</v>
      </c>
    </row>
    <row r="115" spans="3:46" x14ac:dyDescent="0.2">
      <c r="C115" t="s">
        <v>677</v>
      </c>
      <c r="D115" t="s">
        <v>670</v>
      </c>
      <c r="F115" cm="1">
        <f t="array" ref="F115">_xlfn.UNIQUE(G36:AA36,TRUE,FALSE)</f>
        <v>0</v>
      </c>
      <c r="AS115">
        <v>163</v>
      </c>
      <c r="AT115" t="s">
        <v>247</v>
      </c>
    </row>
    <row r="116" spans="3:46" x14ac:dyDescent="0.2">
      <c r="C116" t="s">
        <v>678</v>
      </c>
      <c r="D116" t="s">
        <v>670</v>
      </c>
      <c r="F116" cm="1">
        <f t="array" ref="F116">_xlfn.UNIQUE(G37:AA37,TRUE,FALSE)</f>
        <v>0</v>
      </c>
    </row>
    <row r="117" spans="3:46" x14ac:dyDescent="0.2">
      <c r="C117" t="s">
        <v>679</v>
      </c>
      <c r="D117" s="3" t="s">
        <v>671</v>
      </c>
      <c r="F117" t="str" cm="1">
        <f t="array" ref="F117:J117">_xlfn.UNIQUE(G38:AA38,TRUE,FALSE)</f>
        <v>InvasivePressureModule</v>
      </c>
      <c r="G117" t="str">
        <v>Capno_Module</v>
      </c>
      <c r="H117" t="str">
        <v>HemodynamicsModule</v>
      </c>
      <c r="I117">
        <v>0</v>
      </c>
      <c r="J117" t="str">
        <v>PulseOximetryModule</v>
      </c>
      <c r="AS117">
        <v>181</v>
      </c>
      <c r="AT117" t="s">
        <v>264</v>
      </c>
    </row>
    <row r="118" spans="3:46" x14ac:dyDescent="0.2">
      <c r="C118" t="s">
        <v>680</v>
      </c>
      <c r="D118" s="3" t="s">
        <v>671</v>
      </c>
      <c r="F118" t="str" cm="1">
        <f t="array" ref="F118:K118">_xlfn.UNIQUE(G39:AA39,TRUE,FALSE)</f>
        <v>AorticPressure_Metric</v>
      </c>
      <c r="G118" t="str">
        <v>Airway_RespiratoryRate_Metric</v>
      </c>
      <c r="H118" t="str">
        <v>CerebralPerfusion_Metric</v>
      </c>
      <c r="I118" t="str">
        <v>CVD_metric</v>
      </c>
      <c r="J118">
        <v>0</v>
      </c>
      <c r="K118" t="str">
        <v>SpO2_metric</v>
      </c>
      <c r="AS118">
        <v>182</v>
      </c>
      <c r="AT118" t="s">
        <v>266</v>
      </c>
    </row>
    <row r="119" spans="3:46" x14ac:dyDescent="0.2">
      <c r="D119"/>
      <c r="F119" cm="1">
        <f t="array" ref="F119">_xlfn.UNIQUE(G40:AA40,TRUE,FALSE)</f>
        <v>0</v>
      </c>
      <c r="AS119">
        <v>202</v>
      </c>
      <c r="AT119" t="s">
        <v>292</v>
      </c>
    </row>
    <row r="120" spans="3:46" x14ac:dyDescent="0.2">
      <c r="C120" t="s">
        <v>681</v>
      </c>
      <c r="D120" t="s">
        <v>670</v>
      </c>
      <c r="F120" t="str" cm="1">
        <f t="array" ref="F120:K120">_xlfn.UNIQUE(G41:AA41,TRUE,FALSE)</f>
        <v>PressureWaveformAnalysis</v>
      </c>
      <c r="G120" t="str">
        <v>RF_CO2_WaveformAnalysis</v>
      </c>
      <c r="H120" t="str">
        <v>CPP_Computation</v>
      </c>
      <c r="I120" t="str">
        <v>VenousPressure_process</v>
      </c>
      <c r="J120">
        <v>0</v>
      </c>
      <c r="K120" t="str">
        <v>SpO2_analysis</v>
      </c>
      <c r="AS120">
        <v>203</v>
      </c>
      <c r="AT120" t="s">
        <v>293</v>
      </c>
    </row>
    <row r="121" spans="3:46" x14ac:dyDescent="0.2">
      <c r="C121" t="s">
        <v>682</v>
      </c>
      <c r="D121" s="3" t="s">
        <v>671</v>
      </c>
      <c r="F121" t="str" cm="1">
        <f t="array" ref="F121:J121">_xlfn.UNIQUE(G43:AA43,TRUE,FALSE)</f>
        <v>PressureWaveform</v>
      </c>
      <c r="G121" t="str">
        <v>CO2Waveform</v>
      </c>
      <c r="H121">
        <v>0</v>
      </c>
      <c r="I121" t="str">
        <v>Pressure_Waveform</v>
      </c>
      <c r="J121" t="str">
        <v>PPG_Signal</v>
      </c>
      <c r="AS121">
        <v>296</v>
      </c>
      <c r="AT121" t="s">
        <v>377</v>
      </c>
    </row>
    <row r="122" spans="3:46" x14ac:dyDescent="0.2">
      <c r="C122" t="s">
        <v>684</v>
      </c>
      <c r="D122" t="s">
        <v>670</v>
      </c>
      <c r="F122" cm="1">
        <f t="array" ref="F122:G122">_xlfn.UNIQUE(G44:AA44,TRUE,FALSE)</f>
        <v>0</v>
      </c>
      <c r="G122" t="str">
        <v>CPP_Computation_Algorithm</v>
      </c>
      <c r="AS122">
        <v>297</v>
      </c>
      <c r="AT122" t="s">
        <v>378</v>
      </c>
    </row>
    <row r="123" spans="3:46" x14ac:dyDescent="0.2">
      <c r="C123" t="s">
        <v>683</v>
      </c>
      <c r="D123" t="s">
        <v>670</v>
      </c>
      <c r="F123" cm="1">
        <f t="array" ref="F123">_xlfn.UNIQUE(G45:AA45,TRUE,FALSE)</f>
        <v>0</v>
      </c>
      <c r="AS123">
        <v>336</v>
      </c>
      <c r="AT123" t="s">
        <v>417</v>
      </c>
    </row>
    <row r="124" spans="3:46" x14ac:dyDescent="0.2">
      <c r="D124"/>
      <c r="F124" cm="1">
        <f t="array" ref="F124">_xlfn.UNIQUE(G46:AA46,TRUE,FALSE)</f>
        <v>0</v>
      </c>
      <c r="AS124">
        <v>337</v>
      </c>
      <c r="AT124" t="s">
        <v>418</v>
      </c>
    </row>
    <row r="125" spans="3:46" x14ac:dyDescent="0.2">
      <c r="C125" t="s">
        <v>685</v>
      </c>
      <c r="D125" t="s">
        <v>670</v>
      </c>
      <c r="F125" t="str" cm="1">
        <f t="array" ref="F125:J125">_xlfn.UNIQUE(G47:AA47,TRUE,FALSE)</f>
        <v>PressureWaveform</v>
      </c>
      <c r="G125" t="str">
        <v>CO2Waveform</v>
      </c>
      <c r="H125">
        <v>0</v>
      </c>
      <c r="I125" t="str">
        <v>Pressure_Waveform</v>
      </c>
      <c r="J125" t="str">
        <v>PPG_Signal</v>
      </c>
      <c r="AS125">
        <v>237</v>
      </c>
      <c r="AT125" t="s">
        <v>314</v>
      </c>
    </row>
    <row r="126" spans="3:46" x14ac:dyDescent="0.2">
      <c r="C126" t="s">
        <v>686</v>
      </c>
      <c r="D126" t="s">
        <v>670</v>
      </c>
      <c r="F126" t="str" cm="1">
        <f t="array" ref="F126:G126">_xlfn.UNIQUE(G48:AA48,TRUE,FALSE)</f>
        <v>OutsideViableRange</v>
      </c>
      <c r="G126">
        <v>0</v>
      </c>
      <c r="AS126">
        <v>413</v>
      </c>
      <c r="AT126" t="s">
        <v>501</v>
      </c>
    </row>
    <row r="127" spans="3:46" x14ac:dyDescent="0.2">
      <c r="C127" t="s">
        <v>771</v>
      </c>
      <c r="D127" t="s">
        <v>670</v>
      </c>
      <c r="F127" t="str" cm="1">
        <f t="array" ref="F127:H127">_xlfn.UNIQUE(G49:AA49,TRUE,FALSE)</f>
        <v>Waveform</v>
      </c>
      <c r="G127" t="str">
        <v>Computation</v>
      </c>
      <c r="H127">
        <v>0</v>
      </c>
      <c r="AS127">
        <v>415</v>
      </c>
      <c r="AT127" t="s">
        <v>502</v>
      </c>
    </row>
    <row r="128" spans="3:46" x14ac:dyDescent="0.2">
      <c r="C128" t="s">
        <v>687</v>
      </c>
      <c r="D128" s="3" t="s">
        <v>671</v>
      </c>
      <c r="F128" t="str" cm="1">
        <f t="array" ref="F128:K128">_xlfn.UNIQUE(G50:AA50,TRUE,FALSE)</f>
        <v>InvasivePressureTransducer</v>
      </c>
      <c r="G128">
        <v>0</v>
      </c>
      <c r="H128" t="str">
        <v>Capno_Sensor</v>
      </c>
      <c r="I128" t="str">
        <v>-</v>
      </c>
      <c r="J128" t="str">
        <v>CVP_PressureSensor</v>
      </c>
      <c r="K128" t="str">
        <v>PulseOximeter_Sensor</v>
      </c>
      <c r="AS128">
        <v>436</v>
      </c>
      <c r="AT128" t="s">
        <v>526</v>
      </c>
    </row>
    <row r="129" spans="3:46" x14ac:dyDescent="0.2">
      <c r="C129" t="s">
        <v>753</v>
      </c>
      <c r="D129" s="3" t="s">
        <v>671</v>
      </c>
      <c r="F129" t="str" cm="1">
        <f t="array" ref="F129:K129">_xlfn.UNIQUE(G51:AA51,TRUE,FALSE)</f>
        <v>PressureWaveformAnalysis</v>
      </c>
      <c r="G129" t="str">
        <v>RF_CO2_WaveformAnalysis</v>
      </c>
      <c r="H129" t="str">
        <v>CPP_Computation</v>
      </c>
      <c r="I129" t="str">
        <v>VenousPressure_process</v>
      </c>
      <c r="J129">
        <v>0</v>
      </c>
      <c r="K129" t="str">
        <v>SpO2_analysis</v>
      </c>
      <c r="AS129">
        <v>439</v>
      </c>
      <c r="AT129" t="s">
        <v>533</v>
      </c>
    </row>
    <row r="130" spans="3:46" x14ac:dyDescent="0.2">
      <c r="C130" t="s">
        <v>688</v>
      </c>
      <c r="D130" t="s">
        <v>670</v>
      </c>
      <c r="F130" cm="1">
        <f t="array" ref="F130">_xlfn.UNIQUE(G52:AA52,TRUE,FALSE)</f>
        <v>0</v>
      </c>
      <c r="AS130">
        <v>457</v>
      </c>
      <c r="AT130" t="s">
        <v>550</v>
      </c>
    </row>
    <row r="131" spans="3:46" x14ac:dyDescent="0.2">
      <c r="D131"/>
      <c r="F131" cm="1">
        <f t="array" ref="F131">_xlfn.UNIQUE(G53:AA53,TRUE,FALSE)</f>
        <v>0</v>
      </c>
      <c r="AS131">
        <v>455</v>
      </c>
      <c r="AT131" t="s">
        <v>546</v>
      </c>
    </row>
    <row r="132" spans="3:46" x14ac:dyDescent="0.2">
      <c r="C132" t="s">
        <v>689</v>
      </c>
      <c r="D132" t="s">
        <v>670</v>
      </c>
      <c r="F132" t="str" cm="1">
        <f t="array" ref="F132:K132">_xlfn.UNIQUE(G54:AA54,TRUE,FALSE)</f>
        <v>InvasivePressureTransducer</v>
      </c>
      <c r="G132">
        <v>0</v>
      </c>
      <c r="H132" t="str">
        <v>Capno_Sensor</v>
      </c>
      <c r="I132" t="str">
        <v>-</v>
      </c>
      <c r="J132" t="str">
        <v>CVP_PressureSensor</v>
      </c>
      <c r="K132" t="str">
        <v>PulseOximeter_Sensor</v>
      </c>
      <c r="AS132">
        <v>462</v>
      </c>
      <c r="AT132" t="s">
        <v>554</v>
      </c>
    </row>
    <row r="133" spans="3:46" x14ac:dyDescent="0.2">
      <c r="C133" t="s">
        <v>749</v>
      </c>
      <c r="D133" t="s">
        <v>670</v>
      </c>
      <c r="F133" cm="1">
        <f t="array" ref="F133">_xlfn.UNIQUE(G55:AA55,TRUE,FALSE)</f>
        <v>0</v>
      </c>
      <c r="AS133">
        <v>463</v>
      </c>
      <c r="AT133" t="s">
        <v>556</v>
      </c>
    </row>
    <row r="134" spans="3:46" x14ac:dyDescent="0.2">
      <c r="C134" t="s">
        <v>690</v>
      </c>
      <c r="D134" t="s">
        <v>670</v>
      </c>
      <c r="F134" cm="1">
        <f t="array" ref="F134">_xlfn.UNIQUE(G56:AA56,TRUE,FALSE)</f>
        <v>0</v>
      </c>
      <c r="AS134">
        <v>33</v>
      </c>
      <c r="AT134" t="s">
        <v>74</v>
      </c>
    </row>
    <row r="135" spans="3:46" x14ac:dyDescent="0.2">
      <c r="C135" t="s">
        <v>691</v>
      </c>
      <c r="D135" s="3" t="s">
        <v>671</v>
      </c>
      <c r="F135" cm="1">
        <f t="array" ref="F135">_xlfn.UNIQUE(G57:AA57,TRUE,FALSE)</f>
        <v>0</v>
      </c>
      <c r="AS135">
        <v>38</v>
      </c>
      <c r="AT135" t="s">
        <v>75</v>
      </c>
    </row>
    <row r="136" spans="3:46" x14ac:dyDescent="0.2">
      <c r="C136" t="s">
        <v>692</v>
      </c>
      <c r="D136" s="3" t="s">
        <v>671</v>
      </c>
      <c r="F136" t="str" cm="1">
        <f t="array" ref="F136:J136">_xlfn.UNIQUE(G58:AA58,TRUE,FALSE)</f>
        <v>PressureWaveform</v>
      </c>
      <c r="G136" t="str">
        <v>CO2Waveform</v>
      </c>
      <c r="H136">
        <v>0</v>
      </c>
      <c r="I136" t="str">
        <v>Pressure_Waveform</v>
      </c>
      <c r="J136" t="str">
        <v>PPG_Signal</v>
      </c>
      <c r="AS136">
        <v>29</v>
      </c>
      <c r="AT136" t="s">
        <v>63</v>
      </c>
    </row>
    <row r="137" spans="3:46" x14ac:dyDescent="0.2">
      <c r="C137" t="s">
        <v>694</v>
      </c>
      <c r="D137" s="3" t="s">
        <v>671</v>
      </c>
      <c r="F137" t="str" cm="1">
        <f t="array" ref="F137:L137">_xlfn.UNIQUE(G59:AA59,TRUE,FALSE)</f>
        <v>AorticPressure</v>
      </c>
      <c r="G137" t="str">
        <v>Aortic pressure</v>
      </c>
      <c r="H137" t="str">
        <v>Respiratory Rate</v>
      </c>
      <c r="I137" t="str">
        <v>CerebralPerfusionPressure</v>
      </c>
      <c r="J137" t="str">
        <v>CentralVenousPressure_Property</v>
      </c>
      <c r="K137">
        <v>0</v>
      </c>
      <c r="L137" t="str">
        <v>SaO2</v>
      </c>
      <c r="AS137">
        <v>30</v>
      </c>
      <c r="AT137" t="s">
        <v>67</v>
      </c>
    </row>
    <row r="138" spans="3:46" x14ac:dyDescent="0.2">
      <c r="D138"/>
      <c r="F138" cm="1">
        <f t="array" ref="F138">_xlfn.UNIQUE(G60:AA60,TRUE,FALSE)</f>
        <v>0</v>
      </c>
    </row>
    <row r="139" spans="3:46" x14ac:dyDescent="0.2">
      <c r="C139" t="s">
        <v>695</v>
      </c>
      <c r="D139" t="s">
        <v>670</v>
      </c>
      <c r="F139" cm="1">
        <f t="array" ref="F139">_xlfn.UNIQUE(G61:AA61,TRUE,FALSE)</f>
        <v>0</v>
      </c>
    </row>
    <row r="140" spans="3:46" x14ac:dyDescent="0.2">
      <c r="C140" t="s">
        <v>696</v>
      </c>
      <c r="D140" s="3" t="s">
        <v>671</v>
      </c>
      <c r="F140" t="str" cm="1">
        <f t="array" ref="F140:J140">_xlfn.UNIQUE(G62:AA62,TRUE,FALSE)</f>
        <v>InvasivePressureModule</v>
      </c>
      <c r="G140" t="str">
        <v>Capno_Module</v>
      </c>
      <c r="H140" t="str">
        <v>HemodynamicsModule</v>
      </c>
      <c r="I140">
        <v>0</v>
      </c>
      <c r="J140" t="str">
        <v>PulseOximetryModule</v>
      </c>
    </row>
    <row r="141" spans="3:46" x14ac:dyDescent="0.2">
      <c r="C141" t="s">
        <v>697</v>
      </c>
      <c r="D141" s="3" t="s">
        <v>671</v>
      </c>
      <c r="F141" t="str" cm="1">
        <f t="array" ref="F141:K141">_xlfn.UNIQUE(G63:AA63,TRUE,FALSE)</f>
        <v>InvasivePressureTransducer</v>
      </c>
      <c r="G141">
        <v>0</v>
      </c>
      <c r="H141" t="str">
        <v>Capno_Sensor</v>
      </c>
      <c r="I141" t="str">
        <v>-</v>
      </c>
      <c r="J141" t="str">
        <v>CVP_PressureSensor</v>
      </c>
      <c r="K141" t="str">
        <v>PulseOximeter_Sensor</v>
      </c>
    </row>
    <row r="142" spans="3:46" x14ac:dyDescent="0.2">
      <c r="D142"/>
      <c r="F142" cm="1">
        <f t="array" ref="F142">_xlfn.UNIQUE(G64:AA64,TRUE,FALSE)</f>
        <v>0</v>
      </c>
    </row>
    <row r="143" spans="3:46" x14ac:dyDescent="0.2">
      <c r="C143" t="s">
        <v>698</v>
      </c>
      <c r="D143" t="s">
        <v>670</v>
      </c>
      <c r="F143" t="str" cm="1">
        <f t="array" ref="F143:J143">_xlfn.UNIQUE(G65:AA65,TRUE,FALSE)</f>
        <v>InvasivePressureModule</v>
      </c>
      <c r="G143" t="str">
        <v>Capno_Module</v>
      </c>
      <c r="H143" t="str">
        <v>HemodynamicsModule</v>
      </c>
      <c r="I143">
        <v>0</v>
      </c>
      <c r="J143" t="str">
        <v>PulseOximetryModule</v>
      </c>
    </row>
    <row r="144" spans="3:46" x14ac:dyDescent="0.2">
      <c r="C144" t="s">
        <v>754</v>
      </c>
      <c r="D144" t="s">
        <v>670</v>
      </c>
      <c r="F144" cm="1">
        <f t="array" ref="F144">_xlfn.UNIQUE(G66:AA66,TRUE,FALSE)</f>
        <v>0</v>
      </c>
    </row>
    <row r="145" spans="3:10" x14ac:dyDescent="0.2">
      <c r="C145" t="s">
        <v>699</v>
      </c>
      <c r="D145" t="s">
        <v>670</v>
      </c>
      <c r="F145" cm="1">
        <f t="array" ref="F145">_xlfn.UNIQUE(G67:AA67,TRUE,FALSE)</f>
        <v>0</v>
      </c>
    </row>
    <row r="146" spans="3:10" x14ac:dyDescent="0.2">
      <c r="C146" t="s">
        <v>707</v>
      </c>
      <c r="D146" s="3" t="s">
        <v>671</v>
      </c>
      <c r="F146" t="str" cm="1">
        <f t="array" ref="F146">_xlfn.UNIQUE(G68:AA68,TRUE,FALSE)</f>
        <v>PhilipsMonitor</v>
      </c>
    </row>
    <row r="147" spans="3:10" x14ac:dyDescent="0.2">
      <c r="C147" t="s">
        <v>700</v>
      </c>
      <c r="D147" s="3" t="s">
        <v>671</v>
      </c>
      <c r="F147" t="str" cm="1">
        <f t="array" ref="F147:I147">_xlfn.UNIQUE(G69:AA69,TRUE,FALSE)</f>
        <v>PressureChannel</v>
      </c>
      <c r="G147">
        <v>0</v>
      </c>
      <c r="H147" t="str">
        <v>CPP_Channel</v>
      </c>
      <c r="I147" t="str">
        <v>CVP_Channel</v>
      </c>
    </row>
    <row r="148" spans="3:10" x14ac:dyDescent="0.2">
      <c r="C148" t="s">
        <v>706</v>
      </c>
      <c r="D148" s="3" t="s">
        <v>671</v>
      </c>
      <c r="F148" cm="1">
        <f t="array" ref="F148">_xlfn.UNIQUE(G70:AA70,TRUE,FALSE)</f>
        <v>0</v>
      </c>
    </row>
    <row r="149" spans="3:10" x14ac:dyDescent="0.2">
      <c r="D149"/>
      <c r="F149" cm="1">
        <f t="array" ref="F149">_xlfn.UNIQUE(G71:AA71,TRUE,FALSE)</f>
        <v>0</v>
      </c>
    </row>
    <row r="150" spans="3:10" x14ac:dyDescent="0.2">
      <c r="C150" t="s">
        <v>701</v>
      </c>
      <c r="D150" t="s">
        <v>670</v>
      </c>
      <c r="F150" t="str" cm="1">
        <f t="array" ref="F150">_xlfn.UNIQUE(G72:AA72,TRUE,FALSE)</f>
        <v>PhilipsMonitor</v>
      </c>
    </row>
    <row r="151" spans="3:10" x14ac:dyDescent="0.2">
      <c r="C151" t="s">
        <v>702</v>
      </c>
      <c r="D151" t="s">
        <v>670</v>
      </c>
      <c r="F151" cm="1">
        <f t="array" ref="F151">_xlfn.UNIQUE(G73:AA73,TRUE,FALSE)</f>
        <v>0</v>
      </c>
    </row>
    <row r="152" spans="3:10" x14ac:dyDescent="0.2">
      <c r="C152" t="s">
        <v>703</v>
      </c>
      <c r="D152" t="s">
        <v>670</v>
      </c>
      <c r="F152" cm="1">
        <f t="array" ref="F152">_xlfn.UNIQUE(G74:AA74,TRUE,FALSE)</f>
        <v>0</v>
      </c>
    </row>
    <row r="153" spans="3:10" x14ac:dyDescent="0.2">
      <c r="C153" t="s">
        <v>704</v>
      </c>
      <c r="D153" t="s">
        <v>670</v>
      </c>
      <c r="F153" cm="1">
        <f t="array" ref="F153">_xlfn.UNIQUE(G75:AA75,TRUE,FALSE)</f>
        <v>0</v>
      </c>
    </row>
    <row r="154" spans="3:10" x14ac:dyDescent="0.2">
      <c r="C154" t="s">
        <v>705</v>
      </c>
      <c r="D154" s="3" t="s">
        <v>671</v>
      </c>
      <c r="F154" t="str" cm="1">
        <f t="array" ref="F154:J154">_xlfn.UNIQUE(G76:AA76,TRUE,FALSE)</f>
        <v>InvasivePressureModule</v>
      </c>
      <c r="G154" t="str">
        <v>Capno_Module</v>
      </c>
      <c r="H154" t="str">
        <v>HemodynamicsModule</v>
      </c>
      <c r="I154">
        <v>0</v>
      </c>
      <c r="J154" t="str">
        <v>PulseOximetryModule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2AF-4348-274C-8FED-9C3AA44A5E7F}">
  <dimension ref="B1:AU79"/>
  <sheetViews>
    <sheetView zoomScale="88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7" sqref="C7"/>
    </sheetView>
  </sheetViews>
  <sheetFormatPr baseColWidth="10" defaultRowHeight="16" x14ac:dyDescent="0.2"/>
  <cols>
    <col min="1" max="1" width="4.6640625" bestFit="1" customWidth="1"/>
    <col min="2" max="2" width="46.83203125" customWidth="1"/>
    <col min="3" max="3" width="39.83203125" customWidth="1"/>
    <col min="5" max="5" width="22.1640625" customWidth="1"/>
    <col min="6" max="6" width="31.6640625" customWidth="1"/>
    <col min="7" max="47" width="25.83203125" customWidth="1"/>
  </cols>
  <sheetData>
    <row r="1" spans="3:47" s="3" customFormat="1" ht="207" customHeight="1" x14ac:dyDescent="0.2">
      <c r="C1" s="3" t="s">
        <v>941</v>
      </c>
      <c r="D1" s="3" t="s">
        <v>708</v>
      </c>
      <c r="E1" s="3" t="s">
        <v>942</v>
      </c>
      <c r="F1" s="6" t="s">
        <v>943</v>
      </c>
      <c r="G1" s="28" t="s">
        <v>197</v>
      </c>
      <c r="H1" s="28" t="s">
        <v>200</v>
      </c>
      <c r="I1" s="28" t="s">
        <v>201</v>
      </c>
      <c r="J1" s="28" t="s">
        <v>202</v>
      </c>
      <c r="K1" s="28" t="s">
        <v>203</v>
      </c>
      <c r="L1" s="28" t="s">
        <v>204</v>
      </c>
      <c r="M1" s="28" t="s">
        <v>205</v>
      </c>
      <c r="N1" s="28" t="s">
        <v>207</v>
      </c>
      <c r="O1" s="28" t="s">
        <v>208</v>
      </c>
      <c r="P1" s="28" t="s">
        <v>209</v>
      </c>
      <c r="Q1" s="28" t="s">
        <v>211</v>
      </c>
      <c r="R1" s="28" t="s">
        <v>213</v>
      </c>
      <c r="S1" s="28" t="s">
        <v>215</v>
      </c>
      <c r="T1" s="28" t="s">
        <v>217</v>
      </c>
      <c r="U1" s="28" t="s">
        <v>220</v>
      </c>
      <c r="V1" s="28" t="s">
        <v>223</v>
      </c>
      <c r="W1" s="28" t="s">
        <v>235</v>
      </c>
      <c r="X1" s="28" t="s">
        <v>242</v>
      </c>
      <c r="Y1" s="28" t="s">
        <v>246</v>
      </c>
      <c r="Z1" s="28" t="s">
        <v>247</v>
      </c>
      <c r="AA1" s="28" t="s">
        <v>264</v>
      </c>
      <c r="AB1" s="28" t="s">
        <v>266</v>
      </c>
      <c r="AC1" s="28" t="s">
        <v>292</v>
      </c>
      <c r="AD1" s="28" t="s">
        <v>293</v>
      </c>
      <c r="AE1" s="28" t="s">
        <v>377</v>
      </c>
      <c r="AF1" s="28" t="s">
        <v>378</v>
      </c>
      <c r="AG1" s="28" t="s">
        <v>417</v>
      </c>
      <c r="AH1" s="28" t="s">
        <v>418</v>
      </c>
      <c r="AI1" s="28" t="s">
        <v>314</v>
      </c>
      <c r="AJ1" s="28" t="s">
        <v>501</v>
      </c>
      <c r="AK1" s="28" t="s">
        <v>502</v>
      </c>
      <c r="AL1" s="28" t="s">
        <v>526</v>
      </c>
      <c r="AM1" s="28" t="s">
        <v>533</v>
      </c>
      <c r="AN1" s="28" t="s">
        <v>550</v>
      </c>
      <c r="AO1" s="28" t="s">
        <v>546</v>
      </c>
      <c r="AP1" s="28" t="s">
        <v>554</v>
      </c>
      <c r="AQ1" s="28" t="s">
        <v>556</v>
      </c>
      <c r="AR1" s="28" t="s">
        <v>74</v>
      </c>
      <c r="AS1" s="28" t="s">
        <v>75</v>
      </c>
      <c r="AT1" s="28" t="s">
        <v>63</v>
      </c>
      <c r="AU1" s="28" t="s">
        <v>67</v>
      </c>
    </row>
    <row r="2" spans="3:47" x14ac:dyDescent="0.2">
      <c r="C2" t="s">
        <v>649</v>
      </c>
      <c r="D2" t="s">
        <v>670</v>
      </c>
      <c r="F2" s="7" t="s">
        <v>944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3:47" x14ac:dyDescent="0.2">
      <c r="C3" t="s">
        <v>650</v>
      </c>
      <c r="D3" t="s">
        <v>671</v>
      </c>
      <c r="E3" t="s">
        <v>574</v>
      </c>
      <c r="F3" s="7" t="s">
        <v>712</v>
      </c>
      <c r="G3" s="5" t="str">
        <f t="shared" ref="G3:L3" si="0">G6</f>
        <v>Pulmonary</v>
      </c>
      <c r="H3" s="5" t="str">
        <f t="shared" si="0"/>
        <v>Pulmonary</v>
      </c>
      <c r="I3" s="5" t="str">
        <f t="shared" si="0"/>
        <v>Pulmonary</v>
      </c>
      <c r="J3" s="5" t="str">
        <f t="shared" si="0"/>
        <v>Pulmonary</v>
      </c>
      <c r="K3" s="5" t="str">
        <f t="shared" si="0"/>
        <v>Pulmonary</v>
      </c>
      <c r="L3" s="5" t="str">
        <f t="shared" si="0"/>
        <v>Pulmonary</v>
      </c>
      <c r="M3" s="5"/>
      <c r="N3" s="5"/>
      <c r="O3" s="5"/>
      <c r="P3" s="5"/>
      <c r="Q3" s="5"/>
      <c r="R3" s="5"/>
      <c r="S3" s="5"/>
      <c r="T3" s="5"/>
      <c r="U3" s="5"/>
      <c r="V3" s="5" t="str">
        <f t="shared" ref="V3" si="1">V6</f>
        <v>Pulmonary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 t="str">
        <f t="shared" ref="AG3:AH3" si="2">AG6</f>
        <v>Pulmonary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3:47" x14ac:dyDescent="0.2">
      <c r="C4" t="s">
        <v>651</v>
      </c>
      <c r="D4" t="s">
        <v>670</v>
      </c>
      <c r="F4" s="7" t="s">
        <v>713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3:47" x14ac:dyDescent="0.2">
      <c r="F5" s="7"/>
    </row>
    <row r="6" spans="3:47" x14ac:dyDescent="0.2">
      <c r="C6" t="s">
        <v>653</v>
      </c>
      <c r="D6" t="s">
        <v>670</v>
      </c>
      <c r="F6" s="7" t="s">
        <v>12</v>
      </c>
      <c r="G6" s="13" t="s">
        <v>12</v>
      </c>
      <c r="H6" s="13" t="s">
        <v>12</v>
      </c>
      <c r="I6" s="13" t="s">
        <v>12</v>
      </c>
      <c r="J6" s="13" t="s">
        <v>12</v>
      </c>
      <c r="K6" s="13" t="s">
        <v>12</v>
      </c>
      <c r="L6" s="13" t="s">
        <v>12</v>
      </c>
      <c r="M6" s="13" t="s">
        <v>586</v>
      </c>
      <c r="N6" s="13" t="s">
        <v>586</v>
      </c>
      <c r="O6" s="13" t="s">
        <v>586</v>
      </c>
      <c r="P6" s="13" t="s">
        <v>585</v>
      </c>
      <c r="Q6" s="13" t="s">
        <v>585</v>
      </c>
      <c r="R6" s="13" t="s">
        <v>585</v>
      </c>
      <c r="S6" s="13"/>
      <c r="T6" s="13"/>
      <c r="U6" s="13" t="s">
        <v>586</v>
      </c>
      <c r="V6" s="13" t="s">
        <v>12</v>
      </c>
      <c r="W6" s="13" t="s">
        <v>586</v>
      </c>
      <c r="X6" s="13" t="s">
        <v>586</v>
      </c>
      <c r="Y6" s="13" t="s">
        <v>586</v>
      </c>
      <c r="Z6" s="13" t="s">
        <v>586</v>
      </c>
      <c r="AA6" s="13" t="s">
        <v>586</v>
      </c>
      <c r="AB6" s="13"/>
      <c r="AC6" s="13" t="s">
        <v>586</v>
      </c>
      <c r="AD6" s="13" t="s">
        <v>586</v>
      </c>
      <c r="AE6" s="13" t="s">
        <v>586</v>
      </c>
      <c r="AF6" s="13" t="s">
        <v>586</v>
      </c>
      <c r="AG6" s="13" t="s">
        <v>12</v>
      </c>
      <c r="AH6" s="13" t="s">
        <v>885</v>
      </c>
      <c r="AI6" s="13" t="s">
        <v>12</v>
      </c>
      <c r="AJ6" s="13"/>
      <c r="AK6" s="13" t="s">
        <v>586</v>
      </c>
      <c r="AL6" s="13"/>
      <c r="AM6" s="13" t="s">
        <v>12</v>
      </c>
      <c r="AN6" s="13" t="s">
        <v>12</v>
      </c>
      <c r="AO6" s="13" t="s">
        <v>12</v>
      </c>
      <c r="AP6" s="13" t="s">
        <v>918</v>
      </c>
      <c r="AQ6" s="13" t="s">
        <v>918</v>
      </c>
      <c r="AR6" s="13" t="s">
        <v>12</v>
      </c>
      <c r="AS6" s="13"/>
      <c r="AT6" s="13" t="s">
        <v>12</v>
      </c>
      <c r="AU6" s="13" t="s">
        <v>12</v>
      </c>
    </row>
    <row r="7" spans="3:47" x14ac:dyDescent="0.2">
      <c r="C7" t="s">
        <v>652</v>
      </c>
      <c r="D7" t="s">
        <v>671</v>
      </c>
      <c r="E7" t="s">
        <v>570</v>
      </c>
      <c r="F7" s="7" t="s">
        <v>714</v>
      </c>
      <c r="G7" s="5" t="str">
        <f t="shared" ref="G7:L7" si="3">G11</f>
        <v>Lungs</v>
      </c>
      <c r="H7" s="5" t="str">
        <f t="shared" si="3"/>
        <v>Lungs</v>
      </c>
      <c r="I7" s="5" t="str">
        <f t="shared" si="3"/>
        <v>Lungs</v>
      </c>
      <c r="J7" s="5" t="str">
        <f t="shared" si="3"/>
        <v>Lungs</v>
      </c>
      <c r="K7" s="5" t="str">
        <f t="shared" si="3"/>
        <v>Lungs</v>
      </c>
      <c r="L7" s="5" t="str">
        <f t="shared" si="3"/>
        <v>Lungs</v>
      </c>
      <c r="M7" s="5"/>
      <c r="N7" s="5"/>
      <c r="O7" s="5"/>
      <c r="P7" s="5"/>
      <c r="Q7" s="5"/>
      <c r="R7" s="5"/>
      <c r="S7" s="5"/>
      <c r="T7" s="5"/>
      <c r="U7" s="5"/>
      <c r="V7" s="5" t="str">
        <f t="shared" ref="V7" si="4">V11</f>
        <v>Lungs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 t="str">
        <f t="shared" ref="AG7:AH7" si="5">AG11</f>
        <v>Lungs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3:47" x14ac:dyDescent="0.2">
      <c r="C8" t="s">
        <v>654</v>
      </c>
      <c r="D8" t="s">
        <v>670</v>
      </c>
      <c r="F8" s="7" t="s">
        <v>715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3:47" x14ac:dyDescent="0.2">
      <c r="C9" t="s">
        <v>655</v>
      </c>
      <c r="D9" t="s">
        <v>670</v>
      </c>
      <c r="F9" s="7" t="s">
        <v>713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3:47" x14ac:dyDescent="0.2">
      <c r="F10" s="7"/>
    </row>
    <row r="11" spans="3:47" x14ac:dyDescent="0.2">
      <c r="C11" t="s">
        <v>656</v>
      </c>
      <c r="D11" t="s">
        <v>670</v>
      </c>
      <c r="F11" s="7" t="s">
        <v>714</v>
      </c>
      <c r="G11" s="13" t="s">
        <v>714</v>
      </c>
      <c r="H11" s="13" t="s">
        <v>714</v>
      </c>
      <c r="I11" s="13" t="s">
        <v>714</v>
      </c>
      <c r="J11" s="13" t="s">
        <v>714</v>
      </c>
      <c r="K11" s="13" t="s">
        <v>714</v>
      </c>
      <c r="L11" s="13" t="s">
        <v>714</v>
      </c>
      <c r="M11" s="13" t="s">
        <v>590</v>
      </c>
      <c r="N11" s="13" t="s">
        <v>590</v>
      </c>
      <c r="O11" s="13" t="s">
        <v>590</v>
      </c>
      <c r="P11" s="13"/>
      <c r="Q11" s="13"/>
      <c r="R11" s="13"/>
      <c r="S11" s="13"/>
      <c r="T11" s="13"/>
      <c r="U11" s="13" t="s">
        <v>590</v>
      </c>
      <c r="V11" s="13" t="s">
        <v>714</v>
      </c>
      <c r="W11" s="13" t="s">
        <v>865</v>
      </c>
      <c r="X11" s="13" t="s">
        <v>865</v>
      </c>
      <c r="Y11" s="13" t="s">
        <v>865</v>
      </c>
      <c r="Z11" s="13" t="s">
        <v>865</v>
      </c>
      <c r="AA11" s="13" t="s">
        <v>590</v>
      </c>
      <c r="AB11" s="13"/>
      <c r="AC11" s="13" t="s">
        <v>591</v>
      </c>
      <c r="AD11" s="13" t="s">
        <v>591</v>
      </c>
      <c r="AE11" s="13" t="s">
        <v>590</v>
      </c>
      <c r="AF11" s="13" t="s">
        <v>590</v>
      </c>
      <c r="AG11" s="13" t="s">
        <v>714</v>
      </c>
      <c r="AH11" s="13" t="s">
        <v>886</v>
      </c>
      <c r="AI11" s="13" t="s">
        <v>714</v>
      </c>
      <c r="AJ11" s="13"/>
      <c r="AK11" s="13" t="s">
        <v>590</v>
      </c>
      <c r="AL11" s="13"/>
      <c r="AM11" s="13" t="s">
        <v>714</v>
      </c>
      <c r="AN11" s="13" t="s">
        <v>714</v>
      </c>
      <c r="AO11" s="13" t="s">
        <v>714</v>
      </c>
      <c r="AP11" s="13" t="s">
        <v>916</v>
      </c>
      <c r="AQ11" s="13" t="s">
        <v>916</v>
      </c>
      <c r="AR11" s="13" t="s">
        <v>714</v>
      </c>
      <c r="AS11" s="13"/>
      <c r="AT11" s="13" t="s">
        <v>714</v>
      </c>
      <c r="AU11" s="13" t="s">
        <v>714</v>
      </c>
    </row>
    <row r="12" spans="3:47" x14ac:dyDescent="0.2">
      <c r="C12" t="s">
        <v>657</v>
      </c>
      <c r="D12" t="s">
        <v>671</v>
      </c>
      <c r="E12" t="s">
        <v>575</v>
      </c>
      <c r="F12" s="7" t="s">
        <v>716</v>
      </c>
      <c r="G12" s="5" t="str">
        <f t="shared" ref="G12:L12" si="6">G16</f>
        <v>Pulmonary_Oxygenation</v>
      </c>
      <c r="H12" s="5" t="str">
        <f t="shared" si="6"/>
        <v>Pulmonary_Oxygenation</v>
      </c>
      <c r="I12" s="5" t="str">
        <f t="shared" si="6"/>
        <v>Pulmonary_Oxygenation</v>
      </c>
      <c r="J12" s="5" t="str">
        <f t="shared" si="6"/>
        <v>Pulmonary_Oxygenation</v>
      </c>
      <c r="K12" s="5" t="str">
        <f t="shared" si="6"/>
        <v>Pulmonary_Oxygenation</v>
      </c>
      <c r="L12" s="5" t="str">
        <f t="shared" si="6"/>
        <v>Pulmonary_Oxygenation</v>
      </c>
      <c r="M12" s="5"/>
      <c r="N12" s="5"/>
      <c r="O12" s="5"/>
      <c r="P12" s="5"/>
      <c r="Q12" s="5" t="s">
        <v>588</v>
      </c>
      <c r="R12" s="5" t="s">
        <v>588</v>
      </c>
      <c r="S12" s="5"/>
      <c r="T12" s="5"/>
      <c r="U12" s="5"/>
      <c r="V12" s="5" t="str">
        <f t="shared" ref="V12" si="7">V16</f>
        <v>Pulmonary_Oxygenation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 t="str">
        <f t="shared" ref="AG12:AH12" si="8">AG16</f>
        <v>Pulmonary_Oxygenation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3:47" x14ac:dyDescent="0.2">
      <c r="C13" t="s">
        <v>658</v>
      </c>
      <c r="D13" t="s">
        <v>670</v>
      </c>
      <c r="F13" s="7" t="s">
        <v>715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spans="3:47" x14ac:dyDescent="0.2">
      <c r="C14" t="s">
        <v>659</v>
      </c>
      <c r="D14" t="s">
        <v>670</v>
      </c>
      <c r="F14" s="7" t="s">
        <v>713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 t="s">
        <v>887</v>
      </c>
      <c r="AJ14" s="11"/>
      <c r="AK14" s="11"/>
      <c r="AL14" s="11"/>
      <c r="AM14" s="11"/>
      <c r="AN14" s="11"/>
      <c r="AO14" s="11"/>
      <c r="AP14" s="11" t="s">
        <v>917</v>
      </c>
      <c r="AQ14" s="11" t="s">
        <v>917</v>
      </c>
      <c r="AR14" s="11"/>
      <c r="AS14" s="11"/>
      <c r="AT14" s="11"/>
      <c r="AU14" s="11"/>
    </row>
    <row r="15" spans="3:47" x14ac:dyDescent="0.2">
      <c r="F15" s="7"/>
    </row>
    <row r="16" spans="3:47" x14ac:dyDescent="0.2">
      <c r="C16" t="s">
        <v>660</v>
      </c>
      <c r="D16" t="s">
        <v>670</v>
      </c>
      <c r="F16" s="7" t="s">
        <v>717</v>
      </c>
      <c r="G16" s="13" t="s">
        <v>805</v>
      </c>
      <c r="H16" s="13" t="s">
        <v>805</v>
      </c>
      <c r="I16" s="13" t="s">
        <v>805</v>
      </c>
      <c r="J16" s="13" t="s">
        <v>805</v>
      </c>
      <c r="K16" s="13" t="s">
        <v>805</v>
      </c>
      <c r="L16" s="13" t="s">
        <v>805</v>
      </c>
      <c r="M16" s="13" t="s">
        <v>828</v>
      </c>
      <c r="N16" s="13" t="s">
        <v>828</v>
      </c>
      <c r="O16" s="13" t="s">
        <v>828</v>
      </c>
      <c r="P16" s="13" t="s">
        <v>834</v>
      </c>
      <c r="Q16" s="13" t="s">
        <v>834</v>
      </c>
      <c r="R16" s="13" t="s">
        <v>834</v>
      </c>
      <c r="S16" s="13" t="s">
        <v>834</v>
      </c>
      <c r="T16" s="13" t="s">
        <v>834</v>
      </c>
      <c r="U16" s="13" t="s">
        <v>850</v>
      </c>
      <c r="V16" s="13" t="s">
        <v>805</v>
      </c>
      <c r="W16" s="13" t="s">
        <v>864</v>
      </c>
      <c r="X16" s="13" t="s">
        <v>864</v>
      </c>
      <c r="Y16" s="13" t="s">
        <v>864</v>
      </c>
      <c r="Z16" s="13" t="s">
        <v>864</v>
      </c>
      <c r="AA16" s="13" t="s">
        <v>850</v>
      </c>
      <c r="AB16" s="13"/>
      <c r="AC16" s="13" t="s">
        <v>937</v>
      </c>
      <c r="AD16" s="13" t="s">
        <v>937</v>
      </c>
      <c r="AE16" s="13" t="s">
        <v>850</v>
      </c>
      <c r="AF16" s="13" t="s">
        <v>850</v>
      </c>
      <c r="AG16" s="13" t="s">
        <v>805</v>
      </c>
      <c r="AH16" s="5" t="s">
        <v>883</v>
      </c>
      <c r="AI16" s="13" t="s">
        <v>888</v>
      </c>
      <c r="AJ16" s="13" t="s">
        <v>834</v>
      </c>
      <c r="AK16" s="13" t="s">
        <v>850</v>
      </c>
      <c r="AL16" s="13"/>
      <c r="AM16" s="13" t="s">
        <v>888</v>
      </c>
      <c r="AN16" s="13" t="s">
        <v>888</v>
      </c>
      <c r="AO16" s="13" t="s">
        <v>888</v>
      </c>
      <c r="AP16" s="13"/>
      <c r="AQ16" s="13"/>
      <c r="AR16" s="13" t="s">
        <v>888</v>
      </c>
      <c r="AS16" s="13"/>
      <c r="AT16" s="13" t="s">
        <v>888</v>
      </c>
      <c r="AU16" s="13" t="s">
        <v>888</v>
      </c>
    </row>
    <row r="17" spans="3:47" x14ac:dyDescent="0.2">
      <c r="C17" t="s">
        <v>674</v>
      </c>
      <c r="D17" t="s">
        <v>671</v>
      </c>
      <c r="E17" t="s">
        <v>576</v>
      </c>
      <c r="F17" s="7" t="s">
        <v>718</v>
      </c>
      <c r="G17" s="5" t="str">
        <f t="shared" ref="G17:L17" si="9">G22</f>
        <v>SaO2</v>
      </c>
      <c r="H17" s="5" t="str">
        <f t="shared" si="9"/>
        <v>SaO2</v>
      </c>
      <c r="I17" s="5" t="str">
        <f t="shared" si="9"/>
        <v>SaO2</v>
      </c>
      <c r="J17" s="5" t="str">
        <f t="shared" si="9"/>
        <v>SaO2</v>
      </c>
      <c r="K17" s="5" t="str">
        <f t="shared" si="9"/>
        <v>SaO2</v>
      </c>
      <c r="L17" s="5" t="str">
        <f t="shared" si="9"/>
        <v>SaO2</v>
      </c>
      <c r="M17" s="5"/>
      <c r="N17" s="5"/>
      <c r="O17" s="5"/>
      <c r="P17" s="5"/>
      <c r="Q17" s="5"/>
      <c r="R17" s="5"/>
      <c r="S17" s="5"/>
      <c r="T17" s="5"/>
      <c r="U17" s="5"/>
      <c r="V17" s="5" t="str">
        <f t="shared" ref="V17" si="10">V22</f>
        <v>SaO2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 t="str">
        <f t="shared" ref="AG17:AH17" si="11">AG22</f>
        <v>SaO2</v>
      </c>
      <c r="AH17" s="5" t="str">
        <f t="shared" si="11"/>
        <v>Perfusion_Index_metric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3:47" x14ac:dyDescent="0.2">
      <c r="C18" t="s">
        <v>672</v>
      </c>
      <c r="D18" t="s">
        <v>671</v>
      </c>
      <c r="E18" t="s">
        <v>575</v>
      </c>
      <c r="F18" s="7" t="s">
        <v>719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3:47" x14ac:dyDescent="0.2">
      <c r="C19" t="s">
        <v>661</v>
      </c>
      <c r="D19" t="s">
        <v>670</v>
      </c>
      <c r="F19" s="7" t="s">
        <v>720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 t="s">
        <v>887</v>
      </c>
      <c r="AJ19" s="11"/>
      <c r="AK19" s="11"/>
      <c r="AL19" s="11"/>
      <c r="AM19" s="11" t="s">
        <v>917</v>
      </c>
      <c r="AN19" s="11" t="s">
        <v>917</v>
      </c>
      <c r="AO19" s="11" t="s">
        <v>917</v>
      </c>
      <c r="AP19" s="11"/>
      <c r="AQ19" s="11"/>
      <c r="AR19" s="11" t="s">
        <v>917</v>
      </c>
      <c r="AS19" s="11"/>
      <c r="AT19" s="11" t="s">
        <v>917</v>
      </c>
      <c r="AU19" s="11" t="s">
        <v>917</v>
      </c>
    </row>
    <row r="20" spans="3:47" x14ac:dyDescent="0.2">
      <c r="C20" t="s">
        <v>848</v>
      </c>
      <c r="F20" s="7"/>
      <c r="P20" s="11"/>
      <c r="Q20" s="11"/>
      <c r="R20" s="11"/>
      <c r="S20" s="11"/>
      <c r="T20" s="11"/>
      <c r="AJ20" s="11"/>
    </row>
    <row r="21" spans="3:47" x14ac:dyDescent="0.2">
      <c r="F21" s="7"/>
    </row>
    <row r="22" spans="3:47" x14ac:dyDescent="0.2">
      <c r="C22" t="s">
        <v>662</v>
      </c>
      <c r="D22" t="s">
        <v>670</v>
      </c>
      <c r="F22" s="7" t="s">
        <v>718</v>
      </c>
      <c r="G22" s="13" t="s">
        <v>718</v>
      </c>
      <c r="H22" s="13" t="s">
        <v>718</v>
      </c>
      <c r="I22" s="13" t="s">
        <v>718</v>
      </c>
      <c r="J22" s="13" t="s">
        <v>718</v>
      </c>
      <c r="K22" s="13" t="s">
        <v>718</v>
      </c>
      <c r="L22" s="13" t="s">
        <v>718</v>
      </c>
      <c r="M22" s="13" t="s">
        <v>829</v>
      </c>
      <c r="N22" s="13" t="s">
        <v>829</v>
      </c>
      <c r="O22" s="13" t="s">
        <v>829</v>
      </c>
      <c r="P22" s="13" t="s">
        <v>833</v>
      </c>
      <c r="Q22" s="13" t="s">
        <v>832</v>
      </c>
      <c r="R22" s="13" t="s">
        <v>832</v>
      </c>
      <c r="S22" s="13" t="s">
        <v>831</v>
      </c>
      <c r="T22" s="13" t="s">
        <v>831</v>
      </c>
      <c r="U22" s="13" t="s">
        <v>852</v>
      </c>
      <c r="V22" s="13" t="s">
        <v>718</v>
      </c>
      <c r="W22" s="13" t="s">
        <v>863</v>
      </c>
      <c r="X22" s="13" t="s">
        <v>863</v>
      </c>
      <c r="Y22" s="13" t="s">
        <v>863</v>
      </c>
      <c r="Z22" s="13" t="s">
        <v>863</v>
      </c>
      <c r="AA22" s="13" t="s">
        <v>867</v>
      </c>
      <c r="AB22" s="13"/>
      <c r="AC22" s="13" t="s">
        <v>934</v>
      </c>
      <c r="AD22" s="13" t="s">
        <v>934</v>
      </c>
      <c r="AE22" s="13" t="s">
        <v>852</v>
      </c>
      <c r="AF22" s="13" t="s">
        <v>852</v>
      </c>
      <c r="AG22" s="13" t="s">
        <v>718</v>
      </c>
      <c r="AH22" s="13" t="s">
        <v>882</v>
      </c>
      <c r="AI22" s="13"/>
      <c r="AJ22" s="13" t="s">
        <v>878</v>
      </c>
      <c r="AK22" s="13" t="s">
        <v>874</v>
      </c>
      <c r="AL22" s="13"/>
      <c r="AM22" s="13" t="s">
        <v>903</v>
      </c>
      <c r="AN22" s="13" t="s">
        <v>904</v>
      </c>
      <c r="AO22" s="13" t="s">
        <v>925</v>
      </c>
      <c r="AP22" s="13"/>
      <c r="AQ22" s="13"/>
      <c r="AR22" s="13" t="s">
        <v>925</v>
      </c>
      <c r="AS22" s="13"/>
      <c r="AT22" s="13" t="s">
        <v>926</v>
      </c>
      <c r="AU22" s="13" t="s">
        <v>927</v>
      </c>
    </row>
    <row r="23" spans="3:47" x14ac:dyDescent="0.2">
      <c r="C23" t="s">
        <v>675</v>
      </c>
      <c r="D23" t="s">
        <v>671</v>
      </c>
      <c r="E23" t="s">
        <v>575</v>
      </c>
      <c r="F23" s="7" t="s">
        <v>717</v>
      </c>
      <c r="G23" s="5" t="str">
        <f t="shared" ref="G23:L23" si="12">G16</f>
        <v>Pulmonary_Oxygenation</v>
      </c>
      <c r="H23" s="5" t="str">
        <f t="shared" si="12"/>
        <v>Pulmonary_Oxygenation</v>
      </c>
      <c r="I23" s="5" t="str">
        <f t="shared" si="12"/>
        <v>Pulmonary_Oxygenation</v>
      </c>
      <c r="J23" s="5" t="str">
        <f t="shared" si="12"/>
        <v>Pulmonary_Oxygenation</v>
      </c>
      <c r="K23" s="5" t="str">
        <f t="shared" si="12"/>
        <v>Pulmonary_Oxygenation</v>
      </c>
      <c r="L23" s="5" t="str">
        <f t="shared" si="12"/>
        <v>Pulmonary_Oxygenation</v>
      </c>
      <c r="M23" s="5"/>
      <c r="N23" s="5"/>
      <c r="O23" s="5"/>
      <c r="P23" s="5"/>
      <c r="Q23" s="5"/>
      <c r="R23" s="5"/>
      <c r="S23" s="5"/>
      <c r="T23" s="5"/>
      <c r="U23" s="5"/>
      <c r="V23" s="5" t="str">
        <f t="shared" ref="V23" si="13">V16</f>
        <v>Pulmonary_Oxygenation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 t="str">
        <f t="shared" ref="AG23:AH23" si="14">AG16</f>
        <v>Pulmonary_Oxygenation</v>
      </c>
      <c r="AH23" s="5" t="s">
        <v>883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3:47" x14ac:dyDescent="0.2">
      <c r="C24" t="s">
        <v>673</v>
      </c>
      <c r="D24" t="s">
        <v>670</v>
      </c>
      <c r="F24" s="7" t="s">
        <v>715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spans="3:47" x14ac:dyDescent="0.2">
      <c r="C25" t="s">
        <v>663</v>
      </c>
      <c r="D25" t="s">
        <v>670</v>
      </c>
      <c r="F25" s="7" t="s">
        <v>721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spans="3:47" x14ac:dyDescent="0.2">
      <c r="C26" t="s">
        <v>664</v>
      </c>
      <c r="D26" t="s">
        <v>671</v>
      </c>
      <c r="E26" t="s">
        <v>580</v>
      </c>
      <c r="F26" s="7" t="s">
        <v>722</v>
      </c>
      <c r="G26" s="5" t="str">
        <f t="shared" ref="G26:L26" si="15">G28</f>
        <v>SpO2</v>
      </c>
      <c r="H26" s="5" t="str">
        <f t="shared" si="15"/>
        <v>SpO2</v>
      </c>
      <c r="I26" s="5" t="str">
        <f t="shared" si="15"/>
        <v>SpO2</v>
      </c>
      <c r="J26" s="5" t="str">
        <f t="shared" si="15"/>
        <v>SpO2</v>
      </c>
      <c r="K26" s="5" t="str">
        <f t="shared" si="15"/>
        <v>SpO2</v>
      </c>
      <c r="L26" s="5" t="str">
        <f t="shared" si="15"/>
        <v>SpO2</v>
      </c>
      <c r="M26" s="5"/>
      <c r="N26" s="5"/>
      <c r="O26" s="5"/>
      <c r="P26" s="5"/>
      <c r="Q26" s="5"/>
      <c r="R26" s="5"/>
      <c r="S26" s="5"/>
      <c r="T26" s="5"/>
      <c r="U26" s="5"/>
      <c r="V26" s="5" t="str">
        <f t="shared" ref="V26" si="16">V28</f>
        <v>SpO2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 t="str">
        <f t="shared" ref="AG26:AH26" si="17">AG28</f>
        <v>SpO2</v>
      </c>
      <c r="AH26" s="5" t="str">
        <f t="shared" si="17"/>
        <v>PFI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3:47" x14ac:dyDescent="0.2">
      <c r="F27" s="7"/>
    </row>
    <row r="28" spans="3:47" x14ac:dyDescent="0.2">
      <c r="C28" t="s">
        <v>665</v>
      </c>
      <c r="D28" t="s">
        <v>670</v>
      </c>
      <c r="F28" s="7" t="s">
        <v>636</v>
      </c>
      <c r="G28" s="13" t="s">
        <v>722</v>
      </c>
      <c r="H28" s="13" t="s">
        <v>722</v>
      </c>
      <c r="I28" s="13" t="s">
        <v>722</v>
      </c>
      <c r="J28" s="13" t="s">
        <v>722</v>
      </c>
      <c r="K28" s="13" t="s">
        <v>722</v>
      </c>
      <c r="L28" s="13" t="s">
        <v>722</v>
      </c>
      <c r="M28" s="13" t="s">
        <v>823</v>
      </c>
      <c r="N28" s="13" t="s">
        <v>824</v>
      </c>
      <c r="O28" s="13" t="s">
        <v>824</v>
      </c>
      <c r="P28" s="13" t="s">
        <v>830</v>
      </c>
      <c r="Q28" s="13" t="s">
        <v>837</v>
      </c>
      <c r="R28" s="13" t="s">
        <v>837</v>
      </c>
      <c r="S28" s="13" t="s">
        <v>838</v>
      </c>
      <c r="T28" s="13" t="s">
        <v>838</v>
      </c>
      <c r="U28" s="13" t="s">
        <v>849</v>
      </c>
      <c r="V28" s="13" t="s">
        <v>722</v>
      </c>
      <c r="W28" s="13" t="s">
        <v>860</v>
      </c>
      <c r="X28" s="13" t="s">
        <v>860</v>
      </c>
      <c r="Y28" s="13" t="s">
        <v>860</v>
      </c>
      <c r="Z28" s="13" t="s">
        <v>860</v>
      </c>
      <c r="AA28" s="13" t="s">
        <v>871</v>
      </c>
      <c r="AB28" s="13"/>
      <c r="AC28" s="13" t="s">
        <v>936</v>
      </c>
      <c r="AD28" s="13" t="s">
        <v>936</v>
      </c>
      <c r="AE28" s="13" t="s">
        <v>849</v>
      </c>
      <c r="AF28" s="13" t="s">
        <v>849</v>
      </c>
      <c r="AG28" s="13" t="s">
        <v>722</v>
      </c>
      <c r="AH28" s="13" t="s">
        <v>881</v>
      </c>
      <c r="AI28" s="13" t="s">
        <v>892</v>
      </c>
      <c r="AJ28" s="13" t="s">
        <v>879</v>
      </c>
      <c r="AK28" s="13" t="s">
        <v>875</v>
      </c>
      <c r="AL28" s="13"/>
      <c r="AM28" s="13" t="s">
        <v>900</v>
      </c>
      <c r="AN28" s="13" t="s">
        <v>908</v>
      </c>
      <c r="AO28" s="13" t="s">
        <v>907</v>
      </c>
      <c r="AP28" s="13"/>
      <c r="AQ28" s="13"/>
      <c r="AR28" s="13" t="s">
        <v>907</v>
      </c>
      <c r="AS28" s="13"/>
      <c r="AT28" s="13" t="s">
        <v>922</v>
      </c>
      <c r="AU28" s="13" t="s">
        <v>923</v>
      </c>
    </row>
    <row r="29" spans="3:47" x14ac:dyDescent="0.2">
      <c r="C29" t="s">
        <v>666</v>
      </c>
      <c r="D29" t="s">
        <v>670</v>
      </c>
      <c r="F29" s="7" t="s">
        <v>724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 t="s">
        <v>853</v>
      </c>
      <c r="V29" s="13"/>
      <c r="W29" s="13" t="s">
        <v>855</v>
      </c>
      <c r="X29" s="13" t="s">
        <v>855</v>
      </c>
      <c r="Y29" s="13" t="s">
        <v>855</v>
      </c>
      <c r="Z29" s="13" t="s">
        <v>855</v>
      </c>
      <c r="AA29" s="13" t="s">
        <v>868</v>
      </c>
      <c r="AB29" s="13"/>
      <c r="AC29" s="13"/>
      <c r="AD29" s="13"/>
      <c r="AE29" s="13" t="s">
        <v>853</v>
      </c>
      <c r="AF29" s="13" t="s">
        <v>853</v>
      </c>
      <c r="AG29" s="13"/>
      <c r="AH29" s="13"/>
      <c r="AI29" s="13"/>
      <c r="AJ29" s="13" t="s">
        <v>880</v>
      </c>
      <c r="AK29" s="13" t="s">
        <v>868</v>
      </c>
      <c r="AL29" s="13"/>
      <c r="AM29" s="13"/>
      <c r="AN29" s="13"/>
      <c r="AO29" s="13"/>
      <c r="AP29" s="13"/>
      <c r="AQ29" s="13"/>
      <c r="AR29" s="13"/>
      <c r="AS29" s="13"/>
      <c r="AT29" s="13"/>
      <c r="AU29" s="13"/>
    </row>
    <row r="30" spans="3:47" x14ac:dyDescent="0.2">
      <c r="C30" t="s">
        <v>669</v>
      </c>
      <c r="D30" t="s">
        <v>670</v>
      </c>
      <c r="F30" s="7" t="s">
        <v>725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 t="s">
        <v>725</v>
      </c>
      <c r="X30" s="13" t="s">
        <v>725</v>
      </c>
      <c r="Y30" s="13" t="s">
        <v>866</v>
      </c>
      <c r="Z30" s="13" t="s">
        <v>761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 t="s">
        <v>905</v>
      </c>
      <c r="AO30" s="13"/>
      <c r="AP30" s="13"/>
      <c r="AQ30" s="13"/>
      <c r="AR30" s="13"/>
      <c r="AS30" s="13"/>
      <c r="AT30" s="13"/>
      <c r="AU30" s="13"/>
    </row>
    <row r="31" spans="3:47" x14ac:dyDescent="0.2">
      <c r="C31" t="s">
        <v>752</v>
      </c>
      <c r="D31" t="s">
        <v>671</v>
      </c>
      <c r="E31" t="s">
        <v>581</v>
      </c>
      <c r="F31" s="7" t="s">
        <v>726</v>
      </c>
      <c r="G31" s="5" t="str">
        <f t="shared" ref="G31:L31" si="18">G43</f>
        <v>Pleth_Waveform_Analysis</v>
      </c>
      <c r="H31" s="5" t="str">
        <f t="shared" si="18"/>
        <v>Pleth_Waveform_Analysis</v>
      </c>
      <c r="I31" s="5" t="str">
        <f t="shared" si="18"/>
        <v>Pleth_Waveform_Analysis</v>
      </c>
      <c r="J31" s="5" t="str">
        <f t="shared" si="18"/>
        <v>Pleth_Waveform_Analysis</v>
      </c>
      <c r="K31" s="5" t="str">
        <f t="shared" si="18"/>
        <v>Pleth_Waveform_Analysis</v>
      </c>
      <c r="L31" s="5" t="str">
        <f t="shared" si="18"/>
        <v>Pleth_Waveform_Analysis</v>
      </c>
      <c r="M31" s="5"/>
      <c r="N31" s="5"/>
      <c r="O31" s="5"/>
      <c r="P31" s="5"/>
      <c r="Q31" s="5"/>
      <c r="R31" s="5"/>
      <c r="S31" s="5"/>
      <c r="T31" s="5"/>
      <c r="U31" s="5"/>
      <c r="V31" s="5" t="str">
        <f t="shared" ref="V31" si="19">V43</f>
        <v>Pleth_Waveform_Analysis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 t="str">
        <f t="shared" ref="AG31:AH31" si="20">AG43</f>
        <v>Pleth_Waveform_Analysis</v>
      </c>
      <c r="AH31" s="5" t="str">
        <f t="shared" si="20"/>
        <v>Pleth_Waveform_Analysis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3:47" x14ac:dyDescent="0.2">
      <c r="C32" t="s">
        <v>667</v>
      </c>
      <c r="D32" t="s">
        <v>671</v>
      </c>
      <c r="E32" t="s">
        <v>576</v>
      </c>
      <c r="F32" s="7" t="s">
        <v>727</v>
      </c>
      <c r="G32" s="5" t="str">
        <f t="shared" ref="G32:L32" si="21">G22</f>
        <v>SaO2</v>
      </c>
      <c r="H32" s="5" t="str">
        <f t="shared" si="21"/>
        <v>SaO2</v>
      </c>
      <c r="I32" s="5" t="str">
        <f t="shared" si="21"/>
        <v>SaO2</v>
      </c>
      <c r="J32" s="5" t="str">
        <f t="shared" si="21"/>
        <v>SaO2</v>
      </c>
      <c r="K32" s="5" t="str">
        <f t="shared" si="21"/>
        <v>SaO2</v>
      </c>
      <c r="L32" s="5" t="str">
        <f t="shared" si="21"/>
        <v>SaO2</v>
      </c>
      <c r="M32" s="5"/>
      <c r="N32" s="5"/>
      <c r="O32" s="5"/>
      <c r="P32" s="5"/>
      <c r="Q32" s="5"/>
      <c r="R32" s="5"/>
      <c r="S32" s="5"/>
      <c r="T32" s="5"/>
      <c r="U32" s="5"/>
      <c r="V32" s="5" t="str">
        <f t="shared" ref="V32" si="22">V22</f>
        <v>SaO2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 t="str">
        <f t="shared" ref="AG32:AH32" si="23">AG22</f>
        <v>SaO2</v>
      </c>
      <c r="AH32" s="5" t="str">
        <f t="shared" si="23"/>
        <v>Perfusion_Index_metric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 spans="3:47" x14ac:dyDescent="0.2">
      <c r="C33" t="s">
        <v>668</v>
      </c>
      <c r="D33" t="s">
        <v>670</v>
      </c>
      <c r="F33" s="12" t="s">
        <v>748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3:47" x14ac:dyDescent="0.2">
      <c r="F34" s="7"/>
    </row>
    <row r="35" spans="3:47" x14ac:dyDescent="0.2">
      <c r="C35" t="s">
        <v>676</v>
      </c>
      <c r="D35" t="s">
        <v>670</v>
      </c>
      <c r="F35" s="7" t="s">
        <v>729</v>
      </c>
      <c r="G35" s="13" t="s">
        <v>810</v>
      </c>
      <c r="H35" s="13" t="s">
        <v>810</v>
      </c>
      <c r="I35" s="13" t="s">
        <v>810</v>
      </c>
      <c r="J35" s="13" t="s">
        <v>810</v>
      </c>
      <c r="K35" s="13" t="s">
        <v>810</v>
      </c>
      <c r="L35" s="13" t="s">
        <v>810</v>
      </c>
      <c r="M35" s="13" t="s">
        <v>819</v>
      </c>
      <c r="N35" s="13" t="s">
        <v>820</v>
      </c>
      <c r="O35" s="13" t="s">
        <v>820</v>
      </c>
      <c r="P35" s="13" t="s">
        <v>835</v>
      </c>
      <c r="Q35" s="13" t="s">
        <v>836</v>
      </c>
      <c r="R35" s="13" t="s">
        <v>836</v>
      </c>
      <c r="S35" s="13" t="s">
        <v>839</v>
      </c>
      <c r="T35" s="13" t="s">
        <v>839</v>
      </c>
      <c r="U35" s="13" t="s">
        <v>854</v>
      </c>
      <c r="V35" s="13" t="s">
        <v>810</v>
      </c>
      <c r="W35" s="13" t="s">
        <v>859</v>
      </c>
      <c r="X35" s="13" t="s">
        <v>859</v>
      </c>
      <c r="Y35" s="13" t="s">
        <v>859</v>
      </c>
      <c r="Z35" s="13" t="s">
        <v>859</v>
      </c>
      <c r="AA35" s="13" t="s">
        <v>870</v>
      </c>
      <c r="AB35" s="13"/>
      <c r="AC35" s="13" t="s">
        <v>938</v>
      </c>
      <c r="AD35" s="13" t="s">
        <v>938</v>
      </c>
      <c r="AE35" s="13" t="s">
        <v>854</v>
      </c>
      <c r="AF35" s="13" t="s">
        <v>854</v>
      </c>
      <c r="AG35" s="13" t="s">
        <v>810</v>
      </c>
      <c r="AH35" s="13" t="s">
        <v>884</v>
      </c>
      <c r="AI35" s="13" t="s">
        <v>891</v>
      </c>
      <c r="AJ35" s="13" t="s">
        <v>839</v>
      </c>
      <c r="AK35" s="13" t="s">
        <v>876</v>
      </c>
      <c r="AL35" s="13"/>
      <c r="AM35" s="13" t="s">
        <v>899</v>
      </c>
      <c r="AN35" s="13" t="s">
        <v>906</v>
      </c>
      <c r="AO35" s="13" t="s">
        <v>919</v>
      </c>
      <c r="AP35" s="13"/>
      <c r="AQ35" s="13"/>
      <c r="AR35" s="13" t="s">
        <v>919</v>
      </c>
      <c r="AS35" s="13"/>
      <c r="AT35" s="13" t="s">
        <v>921</v>
      </c>
      <c r="AU35" s="13" t="s">
        <v>924</v>
      </c>
    </row>
    <row r="36" spans="3:47" x14ac:dyDescent="0.2">
      <c r="C36" t="s">
        <v>677</v>
      </c>
      <c r="D36" t="s">
        <v>670</v>
      </c>
      <c r="F36" s="7" t="s">
        <v>730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spans="3:47" x14ac:dyDescent="0.2">
      <c r="C37" t="s">
        <v>678</v>
      </c>
      <c r="D37" t="s">
        <v>670</v>
      </c>
      <c r="F37" s="7" t="s">
        <v>731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spans="3:47" x14ac:dyDescent="0.2">
      <c r="C38" t="s">
        <v>679</v>
      </c>
      <c r="D38" t="s">
        <v>671</v>
      </c>
      <c r="E38" t="s">
        <v>578</v>
      </c>
      <c r="F38" s="7" t="s">
        <v>732</v>
      </c>
      <c r="G38" s="5" t="str">
        <f t="shared" ref="G38:L38" si="24">G68</f>
        <v>PulseOximetry Module</v>
      </c>
      <c r="H38" s="5" t="str">
        <f t="shared" si="24"/>
        <v>PulseOximetry Module</v>
      </c>
      <c r="I38" s="5" t="str">
        <f t="shared" si="24"/>
        <v>PulseOximetry Module</v>
      </c>
      <c r="J38" s="5" t="str">
        <f t="shared" si="24"/>
        <v>PulseOximetry Module</v>
      </c>
      <c r="K38" s="5" t="str">
        <f t="shared" si="24"/>
        <v>PulseOximetry Module</v>
      </c>
      <c r="L38" s="5" t="str">
        <f t="shared" si="24"/>
        <v>PulseOximetry Module</v>
      </c>
      <c r="M38" s="5"/>
      <c r="N38" s="5"/>
      <c r="O38" s="5"/>
      <c r="P38" s="5"/>
      <c r="Q38" s="5"/>
      <c r="R38" s="5"/>
      <c r="S38" s="5"/>
      <c r="T38" s="5"/>
      <c r="U38" s="5"/>
      <c r="V38" s="5" t="str">
        <f t="shared" ref="V38" si="25">V68</f>
        <v>PulseOximetry Module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 t="str">
        <f t="shared" ref="AG38:AH38" si="26">AG68</f>
        <v>PulseOximetry Module</v>
      </c>
      <c r="AH38" s="5" t="str">
        <f t="shared" si="26"/>
        <v>PulseOximetry Module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 spans="3:47" x14ac:dyDescent="0.2">
      <c r="C39" t="s">
        <v>680</v>
      </c>
      <c r="D39" t="s">
        <v>671</v>
      </c>
      <c r="E39" t="s">
        <v>580</v>
      </c>
      <c r="F39" s="7" t="s">
        <v>636</v>
      </c>
      <c r="G39" s="5" t="str">
        <f t="shared" ref="G39:L39" si="27">G28</f>
        <v>SpO2</v>
      </c>
      <c r="H39" s="5" t="str">
        <f t="shared" si="27"/>
        <v>SpO2</v>
      </c>
      <c r="I39" s="5" t="str">
        <f t="shared" si="27"/>
        <v>SpO2</v>
      </c>
      <c r="J39" s="5" t="str">
        <f t="shared" si="27"/>
        <v>SpO2</v>
      </c>
      <c r="K39" s="5" t="str">
        <f t="shared" si="27"/>
        <v>SpO2</v>
      </c>
      <c r="L39" s="5" t="str">
        <f t="shared" si="27"/>
        <v>SpO2</v>
      </c>
      <c r="M39" s="5"/>
      <c r="N39" s="5"/>
      <c r="O39" s="5"/>
      <c r="P39" s="5"/>
      <c r="Q39" s="5"/>
      <c r="R39" s="5"/>
      <c r="S39" s="5"/>
      <c r="T39" s="5"/>
      <c r="U39" s="5"/>
      <c r="V39" s="5" t="str">
        <f t="shared" ref="V39" si="28">V28</f>
        <v>SpO2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 t="str">
        <f t="shared" ref="AG39:AH39" si="29">AG28</f>
        <v>SpO2</v>
      </c>
      <c r="AH39" s="5" t="str">
        <f t="shared" si="29"/>
        <v>PFI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spans="3:47" x14ac:dyDescent="0.2">
      <c r="C40" t="s">
        <v>817</v>
      </c>
      <c r="F40" s="7"/>
    </row>
    <row r="41" spans="3:47" x14ac:dyDescent="0.2">
      <c r="C41" t="s">
        <v>816</v>
      </c>
      <c r="F41" s="7"/>
      <c r="G41" s="13" t="s">
        <v>728</v>
      </c>
      <c r="H41" s="13" t="s">
        <v>728</v>
      </c>
      <c r="I41" s="13" t="s">
        <v>764</v>
      </c>
      <c r="J41" s="13" t="s">
        <v>728</v>
      </c>
      <c r="K41" s="13" t="s">
        <v>764</v>
      </c>
      <c r="L41" s="13" t="s">
        <v>728</v>
      </c>
      <c r="M41" s="13" t="s">
        <v>764</v>
      </c>
      <c r="N41" s="13" t="s">
        <v>728</v>
      </c>
      <c r="O41" s="13" t="s">
        <v>764</v>
      </c>
      <c r="P41" s="13" t="s">
        <v>40</v>
      </c>
      <c r="Q41" s="13" t="s">
        <v>40</v>
      </c>
      <c r="R41" s="13" t="s">
        <v>18</v>
      </c>
      <c r="S41" s="13" t="s">
        <v>40</v>
      </c>
      <c r="T41" s="13" t="s">
        <v>18</v>
      </c>
      <c r="U41" s="13" t="s">
        <v>851</v>
      </c>
      <c r="V41" s="13" t="s">
        <v>851</v>
      </c>
      <c r="W41" s="13"/>
      <c r="X41" s="13"/>
      <c r="Y41" s="13" t="s">
        <v>18</v>
      </c>
      <c r="Z41" s="13" t="s">
        <v>40</v>
      </c>
      <c r="AA41" s="13" t="s">
        <v>869</v>
      </c>
      <c r="AB41" s="13"/>
      <c r="AC41" s="13" t="s">
        <v>940</v>
      </c>
      <c r="AD41" s="13"/>
      <c r="AE41" s="13" t="s">
        <v>40</v>
      </c>
      <c r="AF41" s="13" t="s">
        <v>18</v>
      </c>
      <c r="AG41" s="13" t="s">
        <v>18</v>
      </c>
      <c r="AH41" s="13" t="s">
        <v>18</v>
      </c>
      <c r="AI41" s="13" t="s">
        <v>18</v>
      </c>
      <c r="AJ41" s="13" t="s">
        <v>940</v>
      </c>
      <c r="AK41" s="13" t="s">
        <v>877</v>
      </c>
      <c r="AL41" s="13"/>
      <c r="AM41" s="13"/>
      <c r="AN41" s="13"/>
      <c r="AO41" s="13" t="s">
        <v>920</v>
      </c>
      <c r="AP41" s="13"/>
      <c r="AQ41" s="13"/>
      <c r="AR41" s="13" t="s">
        <v>764</v>
      </c>
      <c r="AS41" s="13"/>
      <c r="AT41" s="13" t="s">
        <v>40</v>
      </c>
      <c r="AU41" s="13" t="s">
        <v>40</v>
      </c>
    </row>
    <row r="42" spans="3:47" x14ac:dyDescent="0.2">
      <c r="F42" s="7"/>
    </row>
    <row r="43" spans="3:47" x14ac:dyDescent="0.2">
      <c r="C43" t="s">
        <v>681</v>
      </c>
      <c r="D43" t="s">
        <v>670</v>
      </c>
      <c r="F43" s="7" t="s">
        <v>733</v>
      </c>
      <c r="G43" s="13" t="s">
        <v>808</v>
      </c>
      <c r="H43" s="13" t="s">
        <v>808</v>
      </c>
      <c r="I43" s="13" t="s">
        <v>808</v>
      </c>
      <c r="J43" s="13" t="s">
        <v>808</v>
      </c>
      <c r="K43" s="13" t="s">
        <v>808</v>
      </c>
      <c r="L43" s="13" t="s">
        <v>808</v>
      </c>
      <c r="M43" s="13" t="s">
        <v>821</v>
      </c>
      <c r="N43" s="13" t="s">
        <v>821</v>
      </c>
      <c r="O43" s="13" t="s">
        <v>821</v>
      </c>
      <c r="P43" s="13" t="s">
        <v>840</v>
      </c>
      <c r="Q43" s="13" t="s">
        <v>840</v>
      </c>
      <c r="R43" s="13" t="s">
        <v>840</v>
      </c>
      <c r="S43" s="13" t="s">
        <v>840</v>
      </c>
      <c r="T43" s="13" t="s">
        <v>840</v>
      </c>
      <c r="U43" s="13" t="s">
        <v>808</v>
      </c>
      <c r="V43" s="13" t="s">
        <v>808</v>
      </c>
      <c r="W43" s="13" t="s">
        <v>857</v>
      </c>
      <c r="X43" s="13" t="s">
        <v>857</v>
      </c>
      <c r="Y43" s="13" t="s">
        <v>857</v>
      </c>
      <c r="Z43" s="13" t="s">
        <v>857</v>
      </c>
      <c r="AA43" s="13" t="s">
        <v>821</v>
      </c>
      <c r="AB43" s="13"/>
      <c r="AC43" s="13" t="s">
        <v>935</v>
      </c>
      <c r="AD43" s="13" t="s">
        <v>935</v>
      </c>
      <c r="AE43" s="13" t="s">
        <v>808</v>
      </c>
      <c r="AF43" s="13" t="s">
        <v>808</v>
      </c>
      <c r="AG43" s="13" t="s">
        <v>808</v>
      </c>
      <c r="AH43" s="13" t="s">
        <v>808</v>
      </c>
      <c r="AI43" s="13" t="s">
        <v>893</v>
      </c>
      <c r="AJ43" s="13" t="s">
        <v>840</v>
      </c>
      <c r="AK43" s="13" t="s">
        <v>821</v>
      </c>
      <c r="AL43" s="13"/>
      <c r="AM43" s="13" t="s">
        <v>902</v>
      </c>
      <c r="AN43" s="13" t="s">
        <v>902</v>
      </c>
      <c r="AO43" s="13" t="s">
        <v>902</v>
      </c>
      <c r="AP43" s="13"/>
      <c r="AQ43" s="13"/>
      <c r="AR43" s="13" t="s">
        <v>902</v>
      </c>
      <c r="AS43" s="13"/>
      <c r="AT43" s="13" t="s">
        <v>902</v>
      </c>
      <c r="AU43" s="13" t="s">
        <v>902</v>
      </c>
    </row>
    <row r="44" spans="3:47" x14ac:dyDescent="0.2">
      <c r="C44" t="s">
        <v>822</v>
      </c>
      <c r="D44" t="s">
        <v>671</v>
      </c>
      <c r="F44" s="7" t="s">
        <v>804</v>
      </c>
      <c r="G44" s="13" t="s">
        <v>809</v>
      </c>
      <c r="H44" s="13" t="s">
        <v>809</v>
      </c>
      <c r="I44" s="13" t="s">
        <v>809</v>
      </c>
      <c r="J44" s="13" t="s">
        <v>809</v>
      </c>
      <c r="K44" s="13" t="s">
        <v>809</v>
      </c>
      <c r="L44" s="13" t="s">
        <v>809</v>
      </c>
      <c r="M44" s="13" t="s">
        <v>823</v>
      </c>
      <c r="N44" s="13" t="s">
        <v>824</v>
      </c>
      <c r="O44" s="13" t="s">
        <v>824</v>
      </c>
      <c r="P44" s="13"/>
      <c r="Q44" s="13"/>
      <c r="R44" s="13"/>
      <c r="S44" s="13"/>
      <c r="T44" s="13"/>
      <c r="U44" s="13" t="str">
        <f>U28</f>
        <v>Metric_Pulsatile_HeartRate</v>
      </c>
      <c r="V44" s="13" t="str">
        <f>V28</f>
        <v>SpO2</v>
      </c>
      <c r="W44" s="13" t="s">
        <v>858</v>
      </c>
      <c r="X44" s="13" t="s">
        <v>858</v>
      </c>
      <c r="Y44" s="13" t="s">
        <v>858</v>
      </c>
      <c r="Z44" s="13" t="s">
        <v>858</v>
      </c>
      <c r="AA44" s="13" t="str">
        <f>AA28</f>
        <v>Metric_ECG_HeartRate</v>
      </c>
      <c r="AB44" s="13"/>
      <c r="AC44" s="13"/>
      <c r="AD44" s="13"/>
      <c r="AE44" s="13" t="str">
        <f t="shared" ref="AE44:AF44" si="30">AE28</f>
        <v>Metric_Pulsatile_HeartRate</v>
      </c>
      <c r="AF44" s="13" t="str">
        <f t="shared" si="30"/>
        <v>Metric_Pulsatile_HeartRate</v>
      </c>
      <c r="AG44" s="13" t="s">
        <v>722</v>
      </c>
      <c r="AH44" s="13" t="s">
        <v>881</v>
      </c>
      <c r="AI44" s="13"/>
      <c r="AJ44" s="13"/>
      <c r="AK44" s="13" t="str">
        <f>AK28</f>
        <v>Metric_ECG_Ventricular_Rhythm</v>
      </c>
      <c r="AL44" s="13"/>
      <c r="AM44" s="13"/>
      <c r="AN44" s="13"/>
      <c r="AO44" s="13"/>
      <c r="AP44" s="13"/>
      <c r="AQ44" s="13"/>
      <c r="AR44" s="13"/>
      <c r="AS44" s="13"/>
      <c r="AT44" s="13"/>
      <c r="AU44" s="13"/>
    </row>
    <row r="45" spans="3:47" x14ac:dyDescent="0.2">
      <c r="C45" t="s">
        <v>682</v>
      </c>
      <c r="D45" t="s">
        <v>671</v>
      </c>
      <c r="E45" t="s">
        <v>582</v>
      </c>
      <c r="F45" s="7" t="s">
        <v>734</v>
      </c>
      <c r="G45" s="5" t="str">
        <f t="shared" ref="G45:L45" si="31">G49</f>
        <v>Pleth_Waveform_Signal</v>
      </c>
      <c r="H45" s="5" t="str">
        <f t="shared" si="31"/>
        <v>Pleth_Waveform_Signal</v>
      </c>
      <c r="I45" s="5" t="str">
        <f t="shared" si="31"/>
        <v>Pleth_Waveform_Signal</v>
      </c>
      <c r="J45" s="5" t="str">
        <f t="shared" si="31"/>
        <v>Pleth_Waveform_Signal</v>
      </c>
      <c r="K45" s="5" t="str">
        <f t="shared" si="31"/>
        <v>Pleth_Waveform_Signal</v>
      </c>
      <c r="L45" s="5" t="str">
        <f t="shared" si="31"/>
        <v>Pleth_Waveform_Signal</v>
      </c>
      <c r="M45" s="5"/>
      <c r="N45" s="5"/>
      <c r="O45" s="5"/>
      <c r="P45" s="5"/>
      <c r="Q45" s="5"/>
      <c r="R45" s="5"/>
      <c r="S45" s="5"/>
      <c r="T45" s="5"/>
      <c r="U45" s="5"/>
      <c r="V45" s="5" t="str">
        <f t="shared" ref="V45" si="32">V49</f>
        <v>Pleth_Waveform_Signal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 t="str">
        <f t="shared" ref="AG45:AH45" si="33">AG49</f>
        <v>Pleth_Waveform_Signal</v>
      </c>
      <c r="AH45" s="5" t="str">
        <f t="shared" si="33"/>
        <v>Pleth_Waveform_Signal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spans="3:47" x14ac:dyDescent="0.2">
      <c r="C46" t="s">
        <v>684</v>
      </c>
      <c r="D46" t="s">
        <v>670</v>
      </c>
      <c r="F46" s="7" t="s">
        <v>735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spans="3:47" x14ac:dyDescent="0.2">
      <c r="C47" t="s">
        <v>683</v>
      </c>
      <c r="D47" t="s">
        <v>670</v>
      </c>
      <c r="F47" s="7" t="s">
        <v>736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spans="3:47" x14ac:dyDescent="0.2">
      <c r="F48" s="7"/>
    </row>
    <row r="49" spans="3:47" x14ac:dyDescent="0.2">
      <c r="C49" t="s">
        <v>685</v>
      </c>
      <c r="D49" t="s">
        <v>670</v>
      </c>
      <c r="F49" s="7" t="s">
        <v>737</v>
      </c>
      <c r="G49" s="13" t="s">
        <v>807</v>
      </c>
      <c r="H49" s="13" t="s">
        <v>807</v>
      </c>
      <c r="I49" s="13" t="s">
        <v>807</v>
      </c>
      <c r="J49" s="13" t="s">
        <v>807</v>
      </c>
      <c r="K49" s="13" t="s">
        <v>807</v>
      </c>
      <c r="L49" s="13" t="s">
        <v>807</v>
      </c>
      <c r="M49" s="13" t="s">
        <v>825</v>
      </c>
      <c r="N49" s="13" t="s">
        <v>825</v>
      </c>
      <c r="O49" s="13" t="s">
        <v>825</v>
      </c>
      <c r="P49" s="13" t="s">
        <v>841</v>
      </c>
      <c r="Q49" s="13" t="s">
        <v>842</v>
      </c>
      <c r="R49" s="13" t="s">
        <v>842</v>
      </c>
      <c r="S49" s="13" t="s">
        <v>843</v>
      </c>
      <c r="T49" s="13" t="s">
        <v>843</v>
      </c>
      <c r="U49" s="13" t="s">
        <v>807</v>
      </c>
      <c r="V49" s="13" t="s">
        <v>807</v>
      </c>
      <c r="W49" s="13" t="s">
        <v>801</v>
      </c>
      <c r="X49" s="13" t="s">
        <v>801</v>
      </c>
      <c r="Y49" s="13" t="s">
        <v>801</v>
      </c>
      <c r="Z49" s="13" t="s">
        <v>801</v>
      </c>
      <c r="AA49" s="13" t="s">
        <v>872</v>
      </c>
      <c r="AB49" s="13"/>
      <c r="AC49" s="13" t="s">
        <v>933</v>
      </c>
      <c r="AD49" s="13" t="s">
        <v>933</v>
      </c>
      <c r="AE49" s="13" t="s">
        <v>807</v>
      </c>
      <c r="AF49" s="13" t="s">
        <v>807</v>
      </c>
      <c r="AG49" s="13" t="s">
        <v>807</v>
      </c>
      <c r="AH49" s="13" t="s">
        <v>807</v>
      </c>
      <c r="AI49" s="13" t="s">
        <v>890</v>
      </c>
      <c r="AJ49" s="13" t="s">
        <v>843</v>
      </c>
      <c r="AK49" s="13" t="s">
        <v>872</v>
      </c>
      <c r="AL49" s="13"/>
      <c r="AM49" s="13" t="s">
        <v>901</v>
      </c>
      <c r="AN49" s="13" t="s">
        <v>928</v>
      </c>
      <c r="AO49" s="13" t="s">
        <v>928</v>
      </c>
      <c r="AP49" s="13"/>
      <c r="AQ49" s="13"/>
      <c r="AR49" s="13" t="s">
        <v>928</v>
      </c>
      <c r="AS49" s="13"/>
      <c r="AT49" s="13" t="s">
        <v>901</v>
      </c>
      <c r="AU49" s="13" t="s">
        <v>901</v>
      </c>
    </row>
    <row r="50" spans="3:47" x14ac:dyDescent="0.2">
      <c r="C50" t="s">
        <v>686</v>
      </c>
      <c r="D50" t="s">
        <v>670</v>
      </c>
      <c r="F50" s="7" t="s">
        <v>738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 t="s">
        <v>856</v>
      </c>
      <c r="X50" s="13" t="s">
        <v>764</v>
      </c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</row>
    <row r="51" spans="3:47" x14ac:dyDescent="0.2">
      <c r="C51" t="s">
        <v>771</v>
      </c>
      <c r="D51" t="s">
        <v>670</v>
      </c>
      <c r="F51" s="7" t="s">
        <v>770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3:47" x14ac:dyDescent="0.2">
      <c r="C52" t="s">
        <v>687</v>
      </c>
      <c r="D52" t="s">
        <v>671</v>
      </c>
      <c r="E52" t="s">
        <v>583</v>
      </c>
      <c r="F52" s="7" t="s">
        <v>739</v>
      </c>
      <c r="G52" s="5" t="str">
        <f t="shared" ref="G52:L52" si="34">G56</f>
        <v>PulseOximeter_Sensor</v>
      </c>
      <c r="H52" s="5" t="str">
        <f t="shared" si="34"/>
        <v>PulseOximeter_Sensor</v>
      </c>
      <c r="I52" s="5" t="str">
        <f t="shared" si="34"/>
        <v>PulseOximeter_Sensor</v>
      </c>
      <c r="J52" s="5" t="str">
        <f t="shared" si="34"/>
        <v>PulseOximeter_Sensor</v>
      </c>
      <c r="K52" s="5" t="str">
        <f t="shared" si="34"/>
        <v>PulseOximeter_Sensor</v>
      </c>
      <c r="L52" s="5" t="str">
        <f t="shared" si="34"/>
        <v>PulseOximeter_Sensor</v>
      </c>
      <c r="M52" s="5"/>
      <c r="N52" s="5"/>
      <c r="O52" s="5"/>
      <c r="P52" s="5"/>
      <c r="Q52" s="5"/>
      <c r="R52" s="5"/>
      <c r="S52" s="5"/>
      <c r="T52" s="5"/>
      <c r="U52" s="5"/>
      <c r="V52" s="5" t="str">
        <f t="shared" ref="V52" si="35">V56</f>
        <v>PulseOximeter_Sensor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 t="str">
        <f t="shared" ref="AG52:AH52" si="36">AG56</f>
        <v>PulseOximeter_Sensor</v>
      </c>
      <c r="AH52" s="5" t="str">
        <f t="shared" si="36"/>
        <v>PulseOximeter_Sensor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</row>
    <row r="53" spans="3:47" x14ac:dyDescent="0.2">
      <c r="C53" t="s">
        <v>753</v>
      </c>
      <c r="D53" t="s">
        <v>671</v>
      </c>
      <c r="E53" t="s">
        <v>581</v>
      </c>
      <c r="F53" s="7" t="s">
        <v>740</v>
      </c>
      <c r="G53" s="5" t="str">
        <f t="shared" ref="G53:L53" si="37">G43</f>
        <v>Pleth_Waveform_Analysis</v>
      </c>
      <c r="H53" s="5" t="str">
        <f t="shared" si="37"/>
        <v>Pleth_Waveform_Analysis</v>
      </c>
      <c r="I53" s="5" t="str">
        <f t="shared" si="37"/>
        <v>Pleth_Waveform_Analysis</v>
      </c>
      <c r="J53" s="5" t="str">
        <f t="shared" si="37"/>
        <v>Pleth_Waveform_Analysis</v>
      </c>
      <c r="K53" s="5" t="str">
        <f t="shared" si="37"/>
        <v>Pleth_Waveform_Analysis</v>
      </c>
      <c r="L53" s="5" t="str">
        <f t="shared" si="37"/>
        <v>Pleth_Waveform_Analysis</v>
      </c>
      <c r="M53" s="5"/>
      <c r="N53" s="5"/>
      <c r="O53" s="5"/>
      <c r="P53" s="5"/>
      <c r="Q53" s="5"/>
      <c r="R53" s="5"/>
      <c r="S53" s="5"/>
      <c r="T53" s="5"/>
      <c r="U53" s="5"/>
      <c r="V53" s="5" t="str">
        <f t="shared" ref="V53" si="38">V43</f>
        <v>Pleth_Waveform_Analysis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 t="str">
        <f t="shared" ref="AG53:AH53" si="39">AG43</f>
        <v>Pleth_Waveform_Analysis</v>
      </c>
      <c r="AH53" s="5" t="str">
        <f t="shared" si="39"/>
        <v>Pleth_Waveform_Analysis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</row>
    <row r="54" spans="3:47" x14ac:dyDescent="0.2">
      <c r="C54" t="s">
        <v>688</v>
      </c>
      <c r="D54" t="s">
        <v>670</v>
      </c>
      <c r="F54" s="7" t="s">
        <v>741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spans="3:47" x14ac:dyDescent="0.2">
      <c r="F55" s="7"/>
    </row>
    <row r="56" spans="3:47" x14ac:dyDescent="0.2">
      <c r="C56" t="s">
        <v>689</v>
      </c>
      <c r="D56" t="s">
        <v>670</v>
      </c>
      <c r="F56" s="7" t="s">
        <v>739</v>
      </c>
      <c r="G56" s="13" t="s">
        <v>768</v>
      </c>
      <c r="H56" s="13" t="s">
        <v>768</v>
      </c>
      <c r="I56" s="13" t="s">
        <v>768</v>
      </c>
      <c r="J56" s="13" t="s">
        <v>768</v>
      </c>
      <c r="K56" s="13" t="s">
        <v>768</v>
      </c>
      <c r="L56" s="13" t="s">
        <v>768</v>
      </c>
      <c r="M56" s="13" t="s">
        <v>826</v>
      </c>
      <c r="N56" s="13" t="s">
        <v>826</v>
      </c>
      <c r="O56" s="13" t="s">
        <v>826</v>
      </c>
      <c r="P56" s="29" t="s">
        <v>845</v>
      </c>
      <c r="Q56" s="13" t="s">
        <v>844</v>
      </c>
      <c r="R56" s="13" t="s">
        <v>844</v>
      </c>
      <c r="S56" s="13" t="s">
        <v>846</v>
      </c>
      <c r="T56" s="13" t="s">
        <v>846</v>
      </c>
      <c r="U56" s="13" t="s">
        <v>768</v>
      </c>
      <c r="V56" s="13" t="s">
        <v>768</v>
      </c>
      <c r="W56" s="13" t="s">
        <v>861</v>
      </c>
      <c r="X56" s="13" t="s">
        <v>861</v>
      </c>
      <c r="Y56" s="13" t="s">
        <v>861</v>
      </c>
      <c r="Z56" s="13" t="s">
        <v>861</v>
      </c>
      <c r="AA56" s="13" t="s">
        <v>873</v>
      </c>
      <c r="AB56" s="13"/>
      <c r="AC56" s="13" t="s">
        <v>932</v>
      </c>
      <c r="AD56" s="13" t="s">
        <v>932</v>
      </c>
      <c r="AE56" s="13" t="s">
        <v>768</v>
      </c>
      <c r="AF56" s="13" t="s">
        <v>768</v>
      </c>
      <c r="AG56" s="13" t="s">
        <v>768</v>
      </c>
      <c r="AH56" s="13" t="s">
        <v>768</v>
      </c>
      <c r="AI56" s="13" t="s">
        <v>615</v>
      </c>
      <c r="AJ56" s="13" t="s">
        <v>846</v>
      </c>
      <c r="AK56" s="13" t="s">
        <v>873</v>
      </c>
      <c r="AL56" s="13"/>
      <c r="AM56" s="13" t="s">
        <v>909</v>
      </c>
      <c r="AN56" s="13" t="s">
        <v>617</v>
      </c>
      <c r="AO56" s="13" t="s">
        <v>617</v>
      </c>
      <c r="AP56" s="13"/>
      <c r="AQ56" s="13"/>
      <c r="AR56" s="13" t="s">
        <v>617</v>
      </c>
      <c r="AS56" s="13"/>
      <c r="AT56" s="13" t="s">
        <v>909</v>
      </c>
      <c r="AU56" s="13" t="s">
        <v>909</v>
      </c>
    </row>
    <row r="57" spans="3:47" x14ac:dyDescent="0.2">
      <c r="C57" t="s">
        <v>749</v>
      </c>
      <c r="D57" t="s">
        <v>670</v>
      </c>
      <c r="F57" s="7" t="s">
        <v>750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 t="s">
        <v>939</v>
      </c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</row>
    <row r="58" spans="3:47" x14ac:dyDescent="0.2">
      <c r="C58" t="s">
        <v>690</v>
      </c>
      <c r="D58" t="s">
        <v>670</v>
      </c>
      <c r="F58" s="7" t="s">
        <v>742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spans="3:47" x14ac:dyDescent="0.2">
      <c r="C59" t="s">
        <v>691</v>
      </c>
      <c r="D59" t="s">
        <v>671</v>
      </c>
      <c r="E59" t="s">
        <v>693</v>
      </c>
      <c r="F59" s="7" t="s">
        <v>743</v>
      </c>
      <c r="G59" s="5">
        <f t="shared" ref="G59:L59" si="40">G64</f>
        <v>0</v>
      </c>
      <c r="H59" s="5">
        <f t="shared" si="40"/>
        <v>0</v>
      </c>
      <c r="I59" s="5">
        <f t="shared" si="40"/>
        <v>0</v>
      </c>
      <c r="J59" s="5">
        <f t="shared" si="40"/>
        <v>0</v>
      </c>
      <c r="K59" s="5">
        <f t="shared" si="40"/>
        <v>0</v>
      </c>
      <c r="L59" s="5">
        <f t="shared" si="40"/>
        <v>0</v>
      </c>
      <c r="M59" s="5"/>
      <c r="N59" s="5"/>
      <c r="O59" s="5"/>
      <c r="P59" s="5"/>
      <c r="Q59" s="5"/>
      <c r="R59" s="5"/>
      <c r="S59" s="5"/>
      <c r="T59" s="5"/>
      <c r="U59" s="5"/>
      <c r="V59" s="5">
        <f t="shared" ref="V59" si="41">V64</f>
        <v>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f t="shared" ref="AG59:AH59" si="42">AG64</f>
        <v>0</v>
      </c>
      <c r="AH59" s="5">
        <f t="shared" si="42"/>
        <v>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  <row r="60" spans="3:47" x14ac:dyDescent="0.2">
      <c r="C60" t="s">
        <v>692</v>
      </c>
      <c r="D60" t="s">
        <v>671</v>
      </c>
      <c r="E60" t="s">
        <v>582</v>
      </c>
      <c r="F60" s="7" t="s">
        <v>734</v>
      </c>
      <c r="G60" s="5" t="str">
        <f t="shared" ref="G60:L60" si="43">G49</f>
        <v>Pleth_Waveform_Signal</v>
      </c>
      <c r="H60" s="5" t="str">
        <f t="shared" si="43"/>
        <v>Pleth_Waveform_Signal</v>
      </c>
      <c r="I60" s="5" t="str">
        <f t="shared" si="43"/>
        <v>Pleth_Waveform_Signal</v>
      </c>
      <c r="J60" s="5" t="str">
        <f t="shared" si="43"/>
        <v>Pleth_Waveform_Signal</v>
      </c>
      <c r="K60" s="5" t="str">
        <f t="shared" si="43"/>
        <v>Pleth_Waveform_Signal</v>
      </c>
      <c r="L60" s="5" t="str">
        <f t="shared" si="43"/>
        <v>Pleth_Waveform_Signal</v>
      </c>
      <c r="M60" s="5"/>
      <c r="N60" s="5"/>
      <c r="O60" s="5"/>
      <c r="P60" s="5"/>
      <c r="Q60" s="5"/>
      <c r="R60" s="5"/>
      <c r="S60" s="5"/>
      <c r="T60" s="5"/>
      <c r="U60" s="5"/>
      <c r="V60" s="5" t="str">
        <f t="shared" ref="V60" si="44">V49</f>
        <v>Pleth_Waveform_Signal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 t="str">
        <f t="shared" ref="AG60:AH60" si="45">AG49</f>
        <v>Pleth_Waveform_Signal</v>
      </c>
      <c r="AH60" s="5" t="str">
        <f t="shared" si="45"/>
        <v>Pleth_Waveform_Signal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</row>
    <row r="61" spans="3:47" x14ac:dyDescent="0.2">
      <c r="C61" t="s">
        <v>694</v>
      </c>
      <c r="D61" t="s">
        <v>671</v>
      </c>
      <c r="E61" t="s">
        <v>576</v>
      </c>
      <c r="F61" s="7" t="s">
        <v>727</v>
      </c>
      <c r="G61" s="5" t="str">
        <f t="shared" ref="G61:L61" si="46">G22</f>
        <v>SaO2</v>
      </c>
      <c r="H61" s="5" t="str">
        <f t="shared" si="46"/>
        <v>SaO2</v>
      </c>
      <c r="I61" s="5" t="str">
        <f t="shared" si="46"/>
        <v>SaO2</v>
      </c>
      <c r="J61" s="5" t="str">
        <f t="shared" si="46"/>
        <v>SaO2</v>
      </c>
      <c r="K61" s="5" t="str">
        <f t="shared" si="46"/>
        <v>SaO2</v>
      </c>
      <c r="L61" s="5" t="str">
        <f t="shared" si="46"/>
        <v>SaO2</v>
      </c>
      <c r="M61" s="5"/>
      <c r="N61" s="5"/>
      <c r="O61" s="5"/>
      <c r="P61" s="5"/>
      <c r="Q61" s="5"/>
      <c r="R61" s="5"/>
      <c r="S61" s="5"/>
      <c r="T61" s="5"/>
      <c r="U61" s="5"/>
      <c r="V61" s="5" t="str">
        <f t="shared" ref="V61" si="47">V22</f>
        <v>SaO2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 t="str">
        <f t="shared" ref="AG61:AH61" si="48">AG22</f>
        <v>SaO2</v>
      </c>
      <c r="AH61" s="5" t="str">
        <f t="shared" si="48"/>
        <v>Perfusion_Index_metric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</row>
    <row r="62" spans="3:47" x14ac:dyDescent="0.2">
      <c r="C62" t="s">
        <v>811</v>
      </c>
      <c r="D62" t="s">
        <v>671</v>
      </c>
      <c r="F62" s="7"/>
      <c r="G62" s="13" t="s">
        <v>812</v>
      </c>
      <c r="H62" s="13" t="s">
        <v>813</v>
      </c>
      <c r="I62" s="13" t="s">
        <v>813</v>
      </c>
      <c r="J62" s="13" t="s">
        <v>814</v>
      </c>
      <c r="K62" s="13" t="s">
        <v>814</v>
      </c>
      <c r="L62" s="13" t="s">
        <v>815</v>
      </c>
      <c r="M62" s="13" t="s">
        <v>827</v>
      </c>
      <c r="N62" s="13" t="s">
        <v>827</v>
      </c>
      <c r="O62" s="13" t="s">
        <v>827</v>
      </c>
      <c r="P62" s="13"/>
      <c r="Q62" s="13"/>
      <c r="R62" s="13"/>
      <c r="S62" s="13"/>
      <c r="T62" s="13"/>
      <c r="U62" s="13"/>
      <c r="V62" s="13" t="s">
        <v>815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 t="s">
        <v>889</v>
      </c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</row>
    <row r="63" spans="3:47" x14ac:dyDescent="0.2">
      <c r="F63" s="7"/>
    </row>
    <row r="64" spans="3:47" x14ac:dyDescent="0.2">
      <c r="C64" t="s">
        <v>695</v>
      </c>
      <c r="D64" t="s">
        <v>670</v>
      </c>
      <c r="F64" s="7" t="s">
        <v>744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</row>
    <row r="65" spans="3:47" x14ac:dyDescent="0.2">
      <c r="C65" t="s">
        <v>696</v>
      </c>
      <c r="D65" t="s">
        <v>671</v>
      </c>
      <c r="E65" t="s">
        <v>578</v>
      </c>
      <c r="F65" s="7" t="s">
        <v>732</v>
      </c>
      <c r="G65" s="5" t="str">
        <f t="shared" ref="G65:L65" si="49">G68</f>
        <v>PulseOximetry Module</v>
      </c>
      <c r="H65" s="5" t="str">
        <f t="shared" si="49"/>
        <v>PulseOximetry Module</v>
      </c>
      <c r="I65" s="5" t="str">
        <f t="shared" si="49"/>
        <v>PulseOximetry Module</v>
      </c>
      <c r="J65" s="5" t="str">
        <f t="shared" si="49"/>
        <v>PulseOximetry Module</v>
      </c>
      <c r="K65" s="5" t="str">
        <f t="shared" si="49"/>
        <v>PulseOximetry Module</v>
      </c>
      <c r="L65" s="5" t="str">
        <f t="shared" si="49"/>
        <v>PulseOximetry Module</v>
      </c>
      <c r="M65" s="5"/>
      <c r="N65" s="5"/>
      <c r="O65" s="5"/>
      <c r="P65" s="5"/>
      <c r="Q65" s="5"/>
      <c r="R65" s="5"/>
      <c r="S65" s="5"/>
      <c r="T65" s="5"/>
      <c r="U65" s="5"/>
      <c r="V65" s="5" t="str">
        <f t="shared" ref="V65" si="50">V68</f>
        <v>PulseOximetry Module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 t="str">
        <f t="shared" ref="AG65:AH65" si="51">AG68</f>
        <v>PulseOximetry Module</v>
      </c>
      <c r="AH65" s="5" t="str">
        <f t="shared" si="51"/>
        <v>PulseOximetry Module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 spans="3:47" x14ac:dyDescent="0.2">
      <c r="C66" t="s">
        <v>697</v>
      </c>
      <c r="D66" t="s">
        <v>671</v>
      </c>
      <c r="E66" t="s">
        <v>583</v>
      </c>
      <c r="F66" s="7" t="s">
        <v>739</v>
      </c>
      <c r="G66" s="5" t="str">
        <f t="shared" ref="G66:L66" si="52">G56</f>
        <v>PulseOximeter_Sensor</v>
      </c>
      <c r="H66" s="5" t="str">
        <f t="shared" si="52"/>
        <v>PulseOximeter_Sensor</v>
      </c>
      <c r="I66" s="5" t="str">
        <f t="shared" si="52"/>
        <v>PulseOximeter_Sensor</v>
      </c>
      <c r="J66" s="5" t="str">
        <f t="shared" si="52"/>
        <v>PulseOximeter_Sensor</v>
      </c>
      <c r="K66" s="5" t="str">
        <f t="shared" si="52"/>
        <v>PulseOximeter_Sensor</v>
      </c>
      <c r="L66" s="5" t="str">
        <f t="shared" si="52"/>
        <v>PulseOximeter_Sensor</v>
      </c>
      <c r="M66" s="5"/>
      <c r="N66" s="5"/>
      <c r="O66" s="5"/>
      <c r="P66" s="5"/>
      <c r="Q66" s="5"/>
      <c r="R66" s="5"/>
      <c r="S66" s="5"/>
      <c r="T66" s="5"/>
      <c r="U66" s="5"/>
      <c r="V66" s="5" t="str">
        <f t="shared" ref="V66" si="53">V56</f>
        <v>PulseOximeter_Sensor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 t="str">
        <f t="shared" ref="AG66:AH66" si="54">AG56</f>
        <v>PulseOximeter_Sensor</v>
      </c>
      <c r="AH66" s="5" t="str">
        <f t="shared" si="54"/>
        <v>PulseOximeter_Sensor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</row>
    <row r="67" spans="3:47" x14ac:dyDescent="0.2">
      <c r="F67" s="7"/>
    </row>
    <row r="68" spans="3:47" x14ac:dyDescent="0.2">
      <c r="C68" t="s">
        <v>698</v>
      </c>
      <c r="D68" t="s">
        <v>670</v>
      </c>
      <c r="F68" s="7" t="s">
        <v>732</v>
      </c>
      <c r="G68" s="13" t="s">
        <v>806</v>
      </c>
      <c r="H68" s="13" t="s">
        <v>806</v>
      </c>
      <c r="I68" s="13" t="s">
        <v>806</v>
      </c>
      <c r="J68" s="13" t="s">
        <v>806</v>
      </c>
      <c r="K68" s="13" t="s">
        <v>806</v>
      </c>
      <c r="L68" s="13" t="s">
        <v>806</v>
      </c>
      <c r="M68" s="13" t="s">
        <v>818</v>
      </c>
      <c r="N68" s="13" t="s">
        <v>818</v>
      </c>
      <c r="O68" s="13" t="s">
        <v>818</v>
      </c>
      <c r="P68" s="13" t="s">
        <v>847</v>
      </c>
      <c r="Q68" s="13" t="s">
        <v>847</v>
      </c>
      <c r="R68" s="13" t="s">
        <v>847</v>
      </c>
      <c r="S68" s="13" t="s">
        <v>847</v>
      </c>
      <c r="T68" s="13" t="s">
        <v>847</v>
      </c>
      <c r="U68" s="13" t="s">
        <v>806</v>
      </c>
      <c r="V68" s="13" t="s">
        <v>806</v>
      </c>
      <c r="W68" s="13" t="s">
        <v>862</v>
      </c>
      <c r="X68" s="13" t="s">
        <v>862</v>
      </c>
      <c r="Y68" s="13" t="s">
        <v>862</v>
      </c>
      <c r="Z68" s="13" t="s">
        <v>862</v>
      </c>
      <c r="AA68" s="13" t="s">
        <v>603</v>
      </c>
      <c r="AB68" s="13" t="s">
        <v>895</v>
      </c>
      <c r="AC68" s="13" t="s">
        <v>931</v>
      </c>
      <c r="AD68" s="13" t="s">
        <v>931</v>
      </c>
      <c r="AE68" s="13" t="s">
        <v>806</v>
      </c>
      <c r="AF68" s="13" t="s">
        <v>806</v>
      </c>
      <c r="AG68" s="13" t="s">
        <v>806</v>
      </c>
      <c r="AH68" s="13" t="s">
        <v>806</v>
      </c>
      <c r="AI68" s="13" t="s">
        <v>605</v>
      </c>
      <c r="AJ68" s="13" t="s">
        <v>847</v>
      </c>
      <c r="AK68" s="13" t="s">
        <v>603</v>
      </c>
      <c r="AL68" s="13" t="s">
        <v>895</v>
      </c>
      <c r="AM68" s="13" t="s">
        <v>897</v>
      </c>
      <c r="AN68" s="13" t="s">
        <v>898</v>
      </c>
      <c r="AO68" s="13"/>
      <c r="AP68" s="13" t="s">
        <v>913</v>
      </c>
      <c r="AQ68" s="13" t="s">
        <v>912</v>
      </c>
      <c r="AR68" s="13" t="s">
        <v>929</v>
      </c>
      <c r="AS68" s="13" t="s">
        <v>930</v>
      </c>
      <c r="AT68" s="13" t="s">
        <v>929</v>
      </c>
      <c r="AU68" s="13" t="s">
        <v>929</v>
      </c>
    </row>
    <row r="69" spans="3:47" x14ac:dyDescent="0.2">
      <c r="C69" t="s">
        <v>754</v>
      </c>
      <c r="D69" t="s">
        <v>670</v>
      </c>
      <c r="F69" s="7" t="s">
        <v>755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 t="s">
        <v>764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 t="s">
        <v>764</v>
      </c>
      <c r="AM69" s="13"/>
      <c r="AN69" s="13"/>
      <c r="AO69" s="13"/>
      <c r="AP69" s="13" t="s">
        <v>914</v>
      </c>
      <c r="AQ69" s="13" t="s">
        <v>911</v>
      </c>
      <c r="AR69" s="13"/>
      <c r="AS69" s="13" t="s">
        <v>914</v>
      </c>
      <c r="AT69" s="13"/>
      <c r="AU69" s="13"/>
    </row>
    <row r="70" spans="3:47" x14ac:dyDescent="0.2">
      <c r="C70" t="s">
        <v>699</v>
      </c>
      <c r="D70" t="s">
        <v>670</v>
      </c>
      <c r="F70" s="7" t="s">
        <v>742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spans="3:47" x14ac:dyDescent="0.2">
      <c r="C71" t="s">
        <v>707</v>
      </c>
      <c r="D71" t="s">
        <v>671</v>
      </c>
      <c r="E71" t="s">
        <v>577</v>
      </c>
      <c r="F71" s="7" t="s">
        <v>745</v>
      </c>
      <c r="G71" s="5" t="str">
        <f t="shared" ref="G71:L71" si="55">G75</f>
        <v>PhilipsMonitor</v>
      </c>
      <c r="H71" s="5" t="str">
        <f t="shared" si="55"/>
        <v>PhilipsMonitor</v>
      </c>
      <c r="I71" s="5" t="str">
        <f t="shared" si="55"/>
        <v>PhilipsMonitor</v>
      </c>
      <c r="J71" s="5" t="str">
        <f t="shared" si="55"/>
        <v>PhilipsMonitor</v>
      </c>
      <c r="K71" s="5" t="str">
        <f t="shared" si="55"/>
        <v>PhilipsMonitor</v>
      </c>
      <c r="L71" s="5" t="str">
        <f t="shared" si="55"/>
        <v>PhilipsMonitor</v>
      </c>
      <c r="M71" s="5"/>
      <c r="N71" s="5"/>
      <c r="O71" s="5"/>
      <c r="P71" s="5"/>
      <c r="Q71" s="5"/>
      <c r="R71" s="5"/>
      <c r="S71" s="5"/>
      <c r="T71" s="5"/>
      <c r="U71" s="5"/>
      <c r="V71" s="5" t="str">
        <f t="shared" ref="V71" si="56">V75</f>
        <v>PhilipsMonitor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 t="str">
        <f t="shared" ref="AG71:AH71" si="57">AG75</f>
        <v>PhilipsMonitor</v>
      </c>
      <c r="AH71" s="5" t="str">
        <f t="shared" si="57"/>
        <v>PhilipsMonitor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</row>
    <row r="72" spans="3:47" x14ac:dyDescent="0.2">
      <c r="C72" t="s">
        <v>700</v>
      </c>
      <c r="D72" t="s">
        <v>671</v>
      </c>
      <c r="E72" t="s">
        <v>579</v>
      </c>
      <c r="F72" s="7" t="s">
        <v>746</v>
      </c>
      <c r="G72" s="5" t="str">
        <f t="shared" ref="G72:L72" si="58">G35</f>
        <v>Channel_SpO2</v>
      </c>
      <c r="H72" s="5" t="str">
        <f t="shared" si="58"/>
        <v>Channel_SpO2</v>
      </c>
      <c r="I72" s="5" t="str">
        <f t="shared" si="58"/>
        <v>Channel_SpO2</v>
      </c>
      <c r="J72" s="5" t="str">
        <f t="shared" si="58"/>
        <v>Channel_SpO2</v>
      </c>
      <c r="K72" s="5" t="str">
        <f t="shared" si="58"/>
        <v>Channel_SpO2</v>
      </c>
      <c r="L72" s="5" t="str">
        <f t="shared" si="58"/>
        <v>Channel_SpO2</v>
      </c>
      <c r="M72" s="5"/>
      <c r="N72" s="5"/>
      <c r="O72" s="5"/>
      <c r="P72" s="5"/>
      <c r="Q72" s="5"/>
      <c r="R72" s="5"/>
      <c r="S72" s="5"/>
      <c r="T72" s="5"/>
      <c r="U72" s="5"/>
      <c r="V72" s="5" t="str">
        <f t="shared" ref="V72" si="59">V35</f>
        <v>Channel_SpO2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 t="str">
        <f t="shared" ref="AG72:AH72" si="60">AG35</f>
        <v>Channel_SpO2</v>
      </c>
      <c r="AH72" s="5" t="str">
        <f t="shared" si="60"/>
        <v>Channel_PFI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</row>
    <row r="73" spans="3:47" x14ac:dyDescent="0.2">
      <c r="C73" t="s">
        <v>706</v>
      </c>
      <c r="D73" t="s">
        <v>671</v>
      </c>
      <c r="E73" t="s">
        <v>584</v>
      </c>
      <c r="F73" s="7" t="s">
        <v>743</v>
      </c>
      <c r="G73" s="5">
        <f t="shared" ref="G73:L73" si="61">G64</f>
        <v>0</v>
      </c>
      <c r="H73" s="5">
        <f t="shared" si="61"/>
        <v>0</v>
      </c>
      <c r="I73" s="5">
        <f t="shared" si="61"/>
        <v>0</v>
      </c>
      <c r="J73" s="5">
        <f t="shared" si="61"/>
        <v>0</v>
      </c>
      <c r="K73" s="5">
        <f t="shared" si="61"/>
        <v>0</v>
      </c>
      <c r="L73" s="5">
        <f t="shared" si="61"/>
        <v>0</v>
      </c>
      <c r="M73" s="5"/>
      <c r="N73" s="5"/>
      <c r="O73" s="5"/>
      <c r="P73" s="5"/>
      <c r="Q73" s="5"/>
      <c r="R73" s="5"/>
      <c r="S73" s="5"/>
      <c r="T73" s="5"/>
      <c r="U73" s="5"/>
      <c r="V73" s="5">
        <f t="shared" ref="V73" si="62">V64</f>
        <v>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f t="shared" ref="AG73:AH73" si="63">AG64</f>
        <v>0</v>
      </c>
      <c r="AH73" s="5">
        <f t="shared" si="63"/>
        <v>0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 spans="3:47" x14ac:dyDescent="0.2">
      <c r="F74" s="7"/>
    </row>
    <row r="75" spans="3:47" x14ac:dyDescent="0.2">
      <c r="C75" t="s">
        <v>701</v>
      </c>
      <c r="D75" t="s">
        <v>670</v>
      </c>
      <c r="F75" s="7" t="s">
        <v>745</v>
      </c>
      <c r="G75" s="13" t="s">
        <v>745</v>
      </c>
      <c r="H75" s="13" t="s">
        <v>745</v>
      </c>
      <c r="I75" s="13" t="s">
        <v>745</v>
      </c>
      <c r="J75" s="13" t="s">
        <v>745</v>
      </c>
      <c r="K75" s="13" t="s">
        <v>745</v>
      </c>
      <c r="L75" s="13" t="s">
        <v>745</v>
      </c>
      <c r="M75" s="13" t="s">
        <v>745</v>
      </c>
      <c r="N75" s="13" t="s">
        <v>745</v>
      </c>
      <c r="O75" s="13" t="s">
        <v>745</v>
      </c>
      <c r="P75" s="13" t="s">
        <v>745</v>
      </c>
      <c r="Q75" s="13" t="s">
        <v>745</v>
      </c>
      <c r="R75" s="13" t="s">
        <v>745</v>
      </c>
      <c r="S75" s="13" t="s">
        <v>745</v>
      </c>
      <c r="T75" s="13" t="s">
        <v>745</v>
      </c>
      <c r="U75" s="13" t="s">
        <v>745</v>
      </c>
      <c r="V75" s="13" t="s">
        <v>745</v>
      </c>
      <c r="W75" s="13" t="s">
        <v>745</v>
      </c>
      <c r="X75" s="13" t="s">
        <v>745</v>
      </c>
      <c r="Y75" s="13" t="s">
        <v>745</v>
      </c>
      <c r="Z75" s="13" t="s">
        <v>745</v>
      </c>
      <c r="AA75" s="13" t="s">
        <v>745</v>
      </c>
      <c r="AB75" s="13" t="s">
        <v>745</v>
      </c>
      <c r="AC75" s="13" t="s">
        <v>745</v>
      </c>
      <c r="AD75" s="13" t="s">
        <v>745</v>
      </c>
      <c r="AE75" s="13" t="s">
        <v>745</v>
      </c>
      <c r="AF75" s="13" t="s">
        <v>745</v>
      </c>
      <c r="AG75" s="13" t="s">
        <v>745</v>
      </c>
      <c r="AH75" s="13" t="s">
        <v>745</v>
      </c>
      <c r="AI75" s="13" t="s">
        <v>745</v>
      </c>
      <c r="AJ75" s="13" t="s">
        <v>745</v>
      </c>
      <c r="AK75" s="13" t="s">
        <v>745</v>
      </c>
      <c r="AL75" s="13" t="s">
        <v>894</v>
      </c>
      <c r="AM75" s="13" t="s">
        <v>894</v>
      </c>
      <c r="AN75" s="13" t="s">
        <v>896</v>
      </c>
      <c r="AO75" s="13" t="s">
        <v>896</v>
      </c>
      <c r="AP75" s="13" t="s">
        <v>910</v>
      </c>
      <c r="AQ75" s="13" t="s">
        <v>910</v>
      </c>
      <c r="AR75" s="13" t="s">
        <v>915</v>
      </c>
      <c r="AS75" s="13" t="s">
        <v>915</v>
      </c>
      <c r="AT75" s="13" t="s">
        <v>915</v>
      </c>
      <c r="AU75" s="13" t="s">
        <v>915</v>
      </c>
    </row>
    <row r="76" spans="3:47" x14ac:dyDescent="0.2">
      <c r="C76" t="s">
        <v>702</v>
      </c>
      <c r="D76" t="s">
        <v>670</v>
      </c>
      <c r="F76" s="7" t="s">
        <v>745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</row>
    <row r="77" spans="3:47" x14ac:dyDescent="0.2">
      <c r="C77" t="s">
        <v>703</v>
      </c>
      <c r="D77" t="s">
        <v>670</v>
      </c>
      <c r="F77" s="7" t="s">
        <v>747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</row>
    <row r="78" spans="3:47" x14ac:dyDescent="0.2">
      <c r="C78" t="s">
        <v>704</v>
      </c>
      <c r="D78" t="s">
        <v>670</v>
      </c>
      <c r="F78" s="7" t="s">
        <v>742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3:47" x14ac:dyDescent="0.2">
      <c r="C79" t="s">
        <v>705</v>
      </c>
      <c r="D79" t="s">
        <v>671</v>
      </c>
      <c r="E79" t="s">
        <v>578</v>
      </c>
      <c r="F79" s="7" t="s">
        <v>732</v>
      </c>
      <c r="G79" s="5" t="str">
        <f t="shared" ref="G79:L79" si="64">G68</f>
        <v>PulseOximetry Module</v>
      </c>
      <c r="H79" s="5" t="str">
        <f t="shared" si="64"/>
        <v>PulseOximetry Module</v>
      </c>
      <c r="I79" s="5" t="str">
        <f t="shared" si="64"/>
        <v>PulseOximetry Module</v>
      </c>
      <c r="J79" s="5" t="str">
        <f t="shared" si="64"/>
        <v>PulseOximetry Module</v>
      </c>
      <c r="K79" s="5" t="str">
        <f t="shared" si="64"/>
        <v>PulseOximetry Module</v>
      </c>
      <c r="L79" s="5" t="str">
        <f t="shared" si="64"/>
        <v>PulseOximetry Module</v>
      </c>
      <c r="M79" s="5"/>
      <c r="N79" s="5"/>
      <c r="O79" s="5"/>
      <c r="P79" s="5"/>
      <c r="Q79" s="5"/>
      <c r="R79" s="5"/>
      <c r="S79" s="5"/>
      <c r="T79" s="5"/>
      <c r="U79" s="5"/>
      <c r="V79" s="5" t="str">
        <f t="shared" ref="V79" si="65">V68</f>
        <v>PulseOximetry Module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 t="str">
        <f t="shared" ref="AG79:AH79" si="66">AG68</f>
        <v>PulseOximetry Module</v>
      </c>
      <c r="AH79" s="5" t="str">
        <f t="shared" si="66"/>
        <v>PulseOximetry Module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Analyse_Subset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Zoodsma-2, R.S. (Ruben)</dc:creator>
  <cp:lastModifiedBy>Zoodsma-2, R.S. (Ruben)</cp:lastModifiedBy>
  <dcterms:created xsi:type="dcterms:W3CDTF">2025-11-11T11:36:32Z</dcterms:created>
  <dcterms:modified xsi:type="dcterms:W3CDTF">2025-12-10T21:08:14Z</dcterms:modified>
</cp:coreProperties>
</file>